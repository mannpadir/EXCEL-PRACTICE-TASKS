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13_ncr:1_{AD9B6A8E-4378-495F-BA1C-B3402A596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 a="1"/>
  <c r="C14" i="3"/>
  <c r="J5" i="16"/>
  <c r="K5" i="16"/>
  <c r="L5" i="16"/>
  <c r="G6" i="16"/>
  <c r="G7" i="16"/>
  <c r="G8" i="16"/>
  <c r="G5" i="16"/>
  <c r="D7" i="9"/>
  <c r="N6" i="15"/>
  <c r="G7" i="15"/>
  <c r="G8" i="15"/>
  <c r="G9" i="15"/>
  <c r="G10" i="15"/>
  <c r="G11" i="15"/>
  <c r="G6" i="15"/>
  <c r="M6" i="15"/>
  <c r="L6" i="15"/>
  <c r="E10" i="14"/>
  <c r="E11" i="14"/>
  <c r="M9" i="14"/>
  <c r="L9" i="14"/>
  <c r="K9" i="14"/>
  <c r="J9" i="14"/>
  <c r="E9" i="14"/>
  <c r="C13" i="9"/>
  <c r="C12" i="9"/>
  <c r="C14" i="9"/>
  <c r="C15" i="9"/>
  <c r="C16" i="9"/>
  <c r="C17" i="9"/>
  <c r="C18" i="9"/>
  <c r="B18" i="9"/>
  <c r="B13" i="9"/>
  <c r="B14" i="9"/>
  <c r="B15" i="9"/>
  <c r="B16" i="9"/>
  <c r="B17" i="9"/>
  <c r="B12" i="9"/>
  <c r="D8" i="9"/>
  <c r="D9" i="9"/>
  <c r="D10" i="9"/>
  <c r="D11" i="9"/>
  <c r="D6" i="9"/>
  <c r="D5" i="9"/>
  <c r="G5" i="9" l="1"/>
  <c r="G6" i="9"/>
  <c r="G8" i="9"/>
  <c r="G9" i="9"/>
  <c r="G10" i="9"/>
  <c r="G11" i="9"/>
  <c r="G7" i="9"/>
  <c r="C7" i="9"/>
  <c r="C8" i="9"/>
  <c r="C9" i="9"/>
  <c r="C10" i="9"/>
  <c r="C11" i="9"/>
  <c r="C5" i="9"/>
  <c r="F5" i="9"/>
  <c r="E5" i="9"/>
  <c r="C6" i="9"/>
  <c r="B5" i="9"/>
  <c r="C13" i="3"/>
  <c r="B2" i="3"/>
  <c r="B6" i="9"/>
  <c r="B7" i="9"/>
  <c r="B8" i="9"/>
  <c r="B9" i="9"/>
  <c r="B10" i="9"/>
  <c r="B11" i="9"/>
  <c r="H5" i="3"/>
  <c r="H6" i="3"/>
  <c r="H7" i="3"/>
  <c r="H8" i="3"/>
  <c r="H9" i="3"/>
  <c r="H10" i="3"/>
  <c r="I4" i="3"/>
  <c r="J4" i="3"/>
  <c r="K4" i="3"/>
  <c r="L4" i="3"/>
  <c r="M4" i="3"/>
  <c r="I5" i="3"/>
  <c r="J5" i="3"/>
  <c r="K5" i="3"/>
  <c r="L5" i="3"/>
  <c r="M5" i="3"/>
  <c r="I6" i="3"/>
  <c r="J6" i="3"/>
  <c r="K6" i="3"/>
  <c r="L6" i="3"/>
  <c r="M6" i="3"/>
  <c r="I7" i="3"/>
  <c r="J7" i="3"/>
  <c r="K7" i="3"/>
  <c r="L7" i="3"/>
  <c r="M7" i="3"/>
  <c r="I8" i="3"/>
  <c r="J8" i="3"/>
  <c r="K8" i="3"/>
  <c r="L8" i="3"/>
  <c r="M8" i="3"/>
  <c r="I9" i="3"/>
  <c r="J9" i="3"/>
  <c r="K9" i="3"/>
  <c r="L9" i="3"/>
  <c r="M9" i="3"/>
  <c r="I10" i="3"/>
  <c r="J10" i="3"/>
  <c r="K10" i="3"/>
  <c r="L10" i="3"/>
  <c r="M10" i="3"/>
  <c r="H4" i="3"/>
  <c r="B9" i="12"/>
  <c r="B5" i="12"/>
  <c r="F11" i="9" l="1"/>
  <c r="F10" i="9"/>
  <c r="F9" i="9"/>
  <c r="F8" i="9"/>
  <c r="F7" i="9"/>
  <c r="F6" i="9"/>
  <c r="B2" i="2"/>
  <c r="K22" i="13"/>
  <c r="K23" i="13"/>
  <c r="K26" i="13"/>
  <c r="K27" i="13"/>
  <c r="H13" i="13"/>
  <c r="I13" i="13" s="1"/>
  <c r="H14" i="13"/>
  <c r="I14" i="13" s="1"/>
  <c r="H15" i="13"/>
  <c r="I15" i="13" s="1"/>
  <c r="H16" i="13"/>
  <c r="I16" i="13" s="1"/>
  <c r="H17" i="13"/>
  <c r="I17" i="13" s="1"/>
  <c r="H18" i="13"/>
  <c r="I18" i="13" s="1"/>
  <c r="H19" i="13"/>
  <c r="I19" i="13" s="1"/>
  <c r="H20" i="13"/>
  <c r="I20" i="13" s="1"/>
  <c r="H21" i="13"/>
  <c r="I21" i="13" s="1"/>
  <c r="J21" i="13" s="1" a="1"/>
  <c r="J21" i="13" s="1"/>
  <c r="H22" i="13"/>
  <c r="I22" i="13" s="1"/>
  <c r="J22" i="13" s="1" a="1"/>
  <c r="J22" i="13" s="1"/>
  <c r="H23" i="13"/>
  <c r="I23" i="13" s="1"/>
  <c r="J23" i="13" s="1" a="1"/>
  <c r="J23" i="13" s="1"/>
  <c r="H24" i="13"/>
  <c r="I24" i="13" s="1"/>
  <c r="J24" i="13" s="1" a="1"/>
  <c r="J24" i="13" s="1"/>
  <c r="H25" i="13"/>
  <c r="I25" i="13" s="1"/>
  <c r="J25" i="13" s="1" a="1"/>
  <c r="J25" i="13" s="1"/>
  <c r="H26" i="13"/>
  <c r="I26" i="13" s="1"/>
  <c r="J26" i="13" s="1" a="1"/>
  <c r="J26" i="13" s="1"/>
  <c r="H27" i="13"/>
  <c r="I27" i="13" s="1"/>
  <c r="J27" i="13" s="1" a="1"/>
  <c r="J27" i="13" s="1"/>
  <c r="H28" i="13"/>
  <c r="I28" i="13" s="1"/>
  <c r="H29" i="13"/>
  <c r="I29" i="13" s="1"/>
  <c r="H30" i="13"/>
  <c r="I30" i="13" s="1"/>
  <c r="H31" i="13"/>
  <c r="I31" i="13" s="1"/>
  <c r="H32" i="13"/>
  <c r="I32" i="13" s="1"/>
  <c r="H33" i="13"/>
  <c r="I33" i="13" s="1"/>
  <c r="H34" i="13"/>
  <c r="I34" i="13" s="1"/>
  <c r="H12" i="13"/>
  <c r="I12" i="13" s="1"/>
  <c r="I6" i="9"/>
  <c r="I7" i="9"/>
  <c r="I8" i="9"/>
  <c r="I9" i="9"/>
  <c r="I10" i="9"/>
  <c r="I11" i="9"/>
  <c r="I5" i="9"/>
  <c r="H6" i="9"/>
  <c r="H7" i="9"/>
  <c r="H8" i="9"/>
  <c r="H9" i="9"/>
  <c r="H10" i="9"/>
  <c r="H11" i="9"/>
  <c r="H5" i="9"/>
  <c r="E6" i="9"/>
  <c r="E7" i="9"/>
  <c r="E8" i="9"/>
  <c r="E9" i="9"/>
  <c r="E10" i="9"/>
  <c r="E11" i="9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5" i="6"/>
  <c r="E6" i="6"/>
  <c r="E7" i="6"/>
  <c r="E8" i="6"/>
  <c r="E9" i="6"/>
  <c r="E10" i="6"/>
  <c r="E11" i="6"/>
  <c r="E12" i="6"/>
  <c r="E13" i="6"/>
  <c r="E14" i="6"/>
  <c r="E15" i="6"/>
  <c r="E16" i="6"/>
  <c r="D5" i="6"/>
  <c r="D6" i="6"/>
  <c r="D7" i="6"/>
  <c r="D8" i="6"/>
  <c r="D9" i="6"/>
  <c r="D10" i="6"/>
  <c r="D11" i="6"/>
  <c r="D12" i="6"/>
  <c r="D13" i="6"/>
  <c r="D14" i="6"/>
  <c r="D15" i="6"/>
  <c r="D16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K18" i="13" l="1"/>
  <c r="J18" i="13" a="1"/>
  <c r="J18" i="13" s="1"/>
  <c r="K17" i="13"/>
  <c r="J17" i="13" a="1"/>
  <c r="J17" i="13" s="1"/>
  <c r="K31" i="13"/>
  <c r="J31" i="13" a="1"/>
  <c r="J31" i="13" s="1"/>
  <c r="K14" i="13"/>
  <c r="J14" i="13" a="1"/>
  <c r="J14" i="13" s="1"/>
  <c r="K25" i="13"/>
  <c r="K32" i="13"/>
  <c r="J32" i="13" a="1"/>
  <c r="J32" i="13" s="1"/>
  <c r="K24" i="13"/>
  <c r="K34" i="13"/>
  <c r="J34" i="13" a="1"/>
  <c r="J34" i="13" s="1"/>
  <c r="K33" i="13"/>
  <c r="J33" i="13" a="1"/>
  <c r="J33" i="13" s="1"/>
  <c r="K16" i="13"/>
  <c r="J16" i="13" a="1"/>
  <c r="J16" i="13" s="1"/>
  <c r="K15" i="13"/>
  <c r="J15" i="13" a="1"/>
  <c r="J15" i="13" s="1"/>
  <c r="K13" i="13"/>
  <c r="J13" i="13" a="1"/>
  <c r="J13" i="13" s="1"/>
  <c r="K30" i="13"/>
  <c r="J30" i="13" a="1"/>
  <c r="J30" i="13" s="1"/>
  <c r="K29" i="13"/>
  <c r="J29" i="13" a="1"/>
  <c r="J29" i="13" s="1"/>
  <c r="K28" i="13"/>
  <c r="J28" i="13" a="1"/>
  <c r="J28" i="13" s="1"/>
  <c r="K21" i="13"/>
  <c r="K20" i="13"/>
  <c r="J20" i="13" a="1"/>
  <c r="J20" i="13" s="1"/>
  <c r="K12" i="13"/>
  <c r="J12" i="13" a="1"/>
  <c r="J12" i="13" s="1"/>
  <c r="K19" i="13"/>
  <c r="J19" i="13" a="1"/>
  <c r="J19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<sst xmlns="http://schemas.openxmlformats.org/spreadsheetml/2006/main" count="620" uniqueCount="154">
  <si>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</si>
  <si>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</si>
  <si>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</si>
  <si>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</si>
  <si>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</si>
  <si>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</si>
  <si>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</si>
  <si>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</si>
  <si>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</si>
  <si>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</si>
  <si>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</si>
  <si>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</si>
  <si>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</si>
  <si>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</si>
  <si>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</si>
  <si>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</si>
  <si>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</si>
  <si>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</si>
  <si>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</si>
  <si>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</si>
  <si>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</si>
  <si>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</si>
  <si>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</si>
  <si>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</si>
  <si>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</si>
  <si>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</si>
  <si>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</si>
  <si>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</si>
  <si>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</si>
  <si>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</si>
  <si>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</si>
  <si>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</si>
  <si>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</si>
  <si>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</si>
  <si>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</si>
  <si>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</si>
  <si>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</si>
  <si>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</si>
  <si>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</si>
  <si>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</si>
  <si>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</si>
  <si>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</si>
  <si>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</si>
  <si>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</si>
  <si>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</si>
  <si>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</si>
  <si>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</si>
  <si>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</si>
  <si>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</si>
  <si>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</si>
  <si>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</si>
  <si>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</si>
  <si>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</si>
  <si>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</si>
  <si>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</si>
  <si>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</si>
  <si>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</si>
  <si>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</si>
  <si>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</si>
  <si>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</si>
  <si>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</si>
  <si>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</si>
  <si>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</si>
  <si>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</si>
  <si>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</si>
  <si>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</si>
  <si>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</si>
  <si>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</si>
  <si>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</si>
  <si>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</si>
  <si>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</si>
  <si>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</si>
  <si>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</si>
  <si>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</si>
  <si>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</si>
  <si>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</si>
  <si>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</si>
  <si>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</si>
  <si>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</si>
  <si>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</si>
  <si>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</si>
  <si>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</si>
  <si>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</si>
  <si>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</si>
  <si>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</si>
  <si>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</si>
  <si>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</si>
  <si>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</si>
  <si>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</si>
  <si>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</si>
  <si>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</si>
  <si>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</si>
  <si>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</si>
  <si>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</si>
  <si>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</si>
  <si>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</si>
  <si>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</si>
  <si>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</si>
  <si>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</si>
  <si>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</si>
  <si>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</si>
  <si>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</si>
  <si>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</si>
  <si>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</si>
  <si>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</si>
  <si>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</si>
  <si>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</si>
  <si>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</si>
  <si>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</si>
  <si>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</si>
  <si>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</si>
  <si>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</si>
  <si>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</si>
  <si>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</si>
  <si>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</si>
  <si>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</si>
  <si>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</si>
  <si>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</si>
  <si>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</si>
  <si>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</si>
  <si>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</si>
  <si>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</si>
  <si>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</si>
  <si>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</si>
  <si>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</si>
  <si>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</si>
  <si>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</si>
  <si>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</si>
  <si>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</si>
  <si>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</si>
  <si>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</si>
  <si>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</si>
  <si>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</si>
  <si>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</si>
  <si>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</si>
  <si>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</si>
  <si>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</si>
  <si>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</si>
  <si>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</si>
  <si>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</si>
  <si>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</si>
  <si>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</si>
  <si>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</si>
  <si>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</si>
  <si>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</si>
  <si>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</si>
  <si>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</si>
  <si>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</si>
  <si>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</si>
  <si>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</si>
  <si>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 xml:space="preserve"> Find the length of above text string without space?</t>
  </si>
  <si>
    <t>:</t>
  </si>
  <si>
    <t>solutions1</t>
  </si>
  <si>
    <t>solutions2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</si>
</sst>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5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/>
      <diagonal/>
    </border>
    <border>
      <left style="thick">
        <color theme="1"/>
      </left>
      <right style="medium">
        <color indexed="64"/>
      </right>
      <top/>
      <bottom/>
      <diagonal/>
    </border>
    <border>
      <left style="thick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32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8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0" xfId="0" applyNumberFormat="1" applyBorder="1"/>
    <xf numFmtId="0" fontId="8" fillId="3" borderId="11" xfId="0" applyFont="1" applyFill="1" applyBorder="1"/>
    <xf numFmtId="0" fontId="8" fillId="3" borderId="9" xfId="0" applyFont="1" applyFill="1" applyBorder="1"/>
    <xf numFmtId="0" fontId="8" fillId="3" borderId="12" xfId="0" applyFont="1" applyFill="1" applyBorder="1"/>
    <xf numFmtId="0" fontId="0" fillId="0" borderId="15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2" xfId="0" applyBorder="1"/>
    <xf numFmtId="0" fontId="7" fillId="2" borderId="24" xfId="0" applyFont="1" applyFill="1" applyBorder="1"/>
    <xf numFmtId="0" fontId="7" fillId="2" borderId="27" xfId="0" applyFont="1" applyFill="1" applyBorder="1"/>
    <xf numFmtId="0" fontId="7" fillId="2" borderId="15" xfId="0" applyFont="1" applyFill="1" applyBorder="1"/>
    <xf numFmtId="0" fontId="7" fillId="2" borderId="28" xfId="0" applyFont="1" applyFill="1" applyBorder="1"/>
    <xf numFmtId="0" fontId="0" fillId="0" borderId="29" xfId="0" applyBorder="1"/>
    <xf numFmtId="170" fontId="9" fillId="0" borderId="25" xfId="0" applyNumberFormat="1" applyFont="1" applyBorder="1" applyAlignment="1">
      <alignment horizontal="center"/>
    </xf>
    <xf numFmtId="165" fontId="9" fillId="2" borderId="26" xfId="0" applyNumberFormat="1" applyFont="1" applyFill="1" applyBorder="1" applyAlignment="1">
      <alignment horizontal="center"/>
    </xf>
    <xf numFmtId="165" fontId="9" fillId="2" borderId="20" xfId="0" applyNumberFormat="1" applyFont="1" applyFill="1" applyBorder="1" applyAlignment="1">
      <alignment horizontal="center"/>
    </xf>
    <xf numFmtId="170" fontId="9" fillId="0" borderId="13" xfId="0" applyNumberFormat="1" applyFont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6" xfId="0" applyNumberFormat="1" applyFont="1" applyBorder="1" applyAlignment="1">
      <alignment horizontal="center"/>
    </xf>
    <xf numFmtId="0" fontId="0" fillId="0" borderId="31" xfId="0" applyBorder="1"/>
    <xf numFmtId="0" fontId="8" fillId="3" borderId="32" xfId="0" applyFont="1" applyFill="1" applyBorder="1"/>
    <xf numFmtId="0" fontId="8" fillId="3" borderId="15" xfId="0" applyFont="1" applyFill="1" applyBorder="1"/>
    <xf numFmtId="0" fontId="8" fillId="3" borderId="27" xfId="0" applyFont="1" applyFill="1" applyBorder="1"/>
    <xf numFmtId="0" fontId="7" fillId="2" borderId="27" xfId="0" applyFont="1" applyFill="1" applyBorder="1" applyAlignment="1">
      <alignment horizontal="center"/>
    </xf>
    <xf numFmtId="0" fontId="0" fillId="0" borderId="27" xfId="0" applyBorder="1"/>
    <xf numFmtId="0" fontId="8" fillId="3" borderId="29" xfId="0" applyFont="1" applyFill="1" applyBorder="1"/>
    <xf numFmtId="0" fontId="8" fillId="3" borderId="36" xfId="0" applyFont="1" applyFill="1" applyBorder="1"/>
    <xf numFmtId="0" fontId="7" fillId="2" borderId="37" xfId="0" applyFont="1" applyFill="1" applyBorder="1" applyAlignment="1">
      <alignment horizontal="center"/>
    </xf>
    <xf numFmtId="0" fontId="0" fillId="0" borderId="10" xfId="0" applyBorder="1"/>
    <xf numFmtId="0" fontId="7" fillId="2" borderId="32" xfId="0" applyFont="1" applyFill="1" applyBorder="1"/>
    <xf numFmtId="0" fontId="7" fillId="2" borderId="36" xfId="0" applyFont="1" applyFill="1" applyBorder="1"/>
    <xf numFmtId="0" fontId="0" fillId="0" borderId="38" xfId="0" applyBorder="1" applyAlignment="1">
      <alignment horizontal="left"/>
    </xf>
    <xf numFmtId="0" fontId="7" fillId="2" borderId="42" xfId="0" applyFont="1" applyFill="1" applyBorder="1"/>
    <xf numFmtId="0" fontId="0" fillId="0" borderId="27" xfId="0" applyBorder="1" applyAlignment="1">
      <alignment horizontal="left"/>
    </xf>
    <xf numFmtId="0" fontId="8" fillId="3" borderId="39" xfId="0" applyFont="1" applyFill="1" applyBorder="1"/>
    <xf numFmtId="0" fontId="0" fillId="0" borderId="29" xfId="0" applyBorder="1" applyAlignment="1">
      <alignment horizontal="left"/>
    </xf>
    <xf numFmtId="0" fontId="8" fillId="3" borderId="41" xfId="0" applyFont="1" applyFill="1" applyBorder="1"/>
    <xf numFmtId="0" fontId="8" fillId="3" borderId="43" xfId="0" applyFont="1" applyFill="1" applyBorder="1"/>
    <xf numFmtId="0" fontId="8" fillId="3" borderId="44" xfId="0" applyFont="1" applyFill="1" applyBorder="1"/>
    <xf numFmtId="0" fontId="0" fillId="0" borderId="15" xfId="0" applyBorder="1" applyAlignment="1">
      <alignment horizontal="left"/>
    </xf>
    <xf numFmtId="0" fontId="8" fillId="3" borderId="28" xfId="0" applyFont="1" applyFill="1" applyBorder="1"/>
    <xf numFmtId="0" fontId="7" fillId="2" borderId="29" xfId="0" applyFont="1" applyFill="1" applyBorder="1"/>
    <xf numFmtId="0" fontId="4" fillId="0" borderId="1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2" borderId="30" xfId="0" applyFont="1" applyFill="1" applyBorder="1"/>
    <xf numFmtId="0" fontId="7" fillId="2" borderId="40" xfId="0" applyFont="1" applyFill="1" applyBorder="1" applyAlignment="1">
      <alignment horizontal="center"/>
    </xf>
    <xf numFmtId="0" fontId="8" fillId="3" borderId="40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37" xfId="0" applyFont="1" applyFill="1" applyBorder="1"/>
    <xf numFmtId="0" fontId="8" fillId="3" borderId="27" xfId="0" applyFont="1" applyFill="1" applyBorder="1" applyAlignment="1">
      <alignment horizontal="center"/>
    </xf>
    <xf numFmtId="14" fontId="8" fillId="3" borderId="45" xfId="0" applyNumberFormat="1" applyFont="1" applyFill="1" applyBorder="1" applyAlignment="1">
      <alignment horizontal="center"/>
    </xf>
    <xf numFmtId="165" fontId="8" fillId="3" borderId="40" xfId="0" applyNumberFormat="1" applyFont="1" applyFill="1" applyBorder="1" applyAlignment="1">
      <alignment horizontal="center"/>
    </xf>
    <xf numFmtId="166" fontId="8" fillId="3" borderId="40" xfId="0" applyNumberFormat="1" applyFont="1" applyFill="1" applyBorder="1" applyAlignment="1">
      <alignment horizontal="center"/>
    </xf>
    <xf numFmtId="167" fontId="8" fillId="3" borderId="27" xfId="0" applyNumberFormat="1" applyFont="1" applyFill="1" applyBorder="1" applyAlignment="1">
      <alignment horizontal="center"/>
    </xf>
    <xf numFmtId="168" fontId="8" fillId="3" borderId="40" xfId="0" applyNumberFormat="1" applyFont="1" applyFill="1" applyBorder="1" applyAlignment="1">
      <alignment horizontal="center"/>
    </xf>
    <xf numFmtId="169" fontId="8" fillId="3" borderId="27" xfId="0" applyNumberFormat="1" applyFont="1" applyFill="1" applyBorder="1" applyAlignment="1">
      <alignment horizontal="center"/>
    </xf>
    <xf numFmtId="164" fontId="8" fillId="3" borderId="40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6" xfId="0" applyFont="1" applyBorder="1"/>
    <xf numFmtId="0" fontId="4" fillId="2" borderId="47" xfId="0" applyFont="1" applyFill="1" applyBorder="1"/>
    <xf numFmtId="0" fontId="5" fillId="3" borderId="40" xfId="0" applyFont="1" applyFill="1" applyBorder="1" applyAlignment="1">
      <alignment horizontal="center"/>
    </xf>
    <xf numFmtId="0" fontId="4" fillId="0" borderId="48" xfId="0" applyFont="1" applyBorder="1"/>
    <xf numFmtId="0" fontId="5" fillId="3" borderId="49" xfId="0" applyFont="1" applyFill="1" applyBorder="1" applyAlignment="1">
      <alignment horizontal="center"/>
    </xf>
    <xf numFmtId="0" fontId="7" fillId="2" borderId="50" xfId="0" applyFont="1" applyFill="1" applyBorder="1"/>
    <xf numFmtId="0" fontId="8" fillId="5" borderId="0" xfId="0" applyFont="1" applyFill="1"/>
    <xf numFmtId="0" fontId="8" fillId="5" borderId="50" xfId="0" applyFont="1" applyFill="1" applyBorder="1"/>
    <xf numFmtId="0" fontId="8" fillId="3" borderId="50" xfId="0" applyFont="1" applyFill="1" applyBorder="1"/>
    <xf numFmtId="0" fontId="0" fillId="5" borderId="22" xfId="0" applyFill="1" applyBorder="1"/>
    <xf numFmtId="0" fontId="8" fillId="5" borderId="27" xfId="0" applyFont="1" applyFill="1" applyBorder="1"/>
    <xf numFmtId="0" fontId="8" fillId="5" borderId="15" xfId="0" applyFont="1" applyFill="1" applyBorder="1"/>
    <xf numFmtId="0" fontId="4" fillId="2" borderId="26" xfId="0" applyFont="1" applyFill="1" applyBorder="1"/>
    <xf numFmtId="0" fontId="4" fillId="5" borderId="0" xfId="0" applyFont="1" applyFill="1"/>
    <xf numFmtId="0" fontId="4" fillId="0" borderId="22" xfId="0" applyFont="1" applyBorder="1"/>
    <xf numFmtId="0" fontId="4" fillId="4" borderId="15" xfId="0" applyFont="1" applyFill="1" applyBorder="1"/>
    <xf numFmtId="0" fontId="4" fillId="4" borderId="35" xfId="0" applyFont="1" applyFill="1" applyBorder="1"/>
    <xf numFmtId="0" fontId="8" fillId="3" borderId="5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4" borderId="62" xfId="0" applyFont="1" applyFill="1" applyBorder="1"/>
    <xf numFmtId="0" fontId="8" fillId="5" borderId="56" xfId="0" applyFont="1" applyFill="1" applyBorder="1"/>
    <xf numFmtId="0" fontId="4" fillId="4" borderId="0" xfId="0" applyFont="1" applyFill="1"/>
    <xf numFmtId="0" fontId="4" fillId="4" borderId="30" xfId="0" applyFont="1" applyFill="1" applyBorder="1"/>
    <xf numFmtId="0" fontId="8" fillId="5" borderId="29" xfId="0" applyFont="1" applyFill="1" applyBorder="1"/>
    <xf numFmtId="0" fontId="11" fillId="0" borderId="54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8" fillId="3" borderId="3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0" fillId="5" borderId="29" xfId="0" applyFill="1" applyBorder="1"/>
    <xf numFmtId="0" fontId="8" fillId="5" borderId="2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0" fillId="0" borderId="1" xfId="0" applyBorder="1"/>
    <xf numFmtId="49" fontId="4" fillId="0" borderId="32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30" xfId="0" applyNumberFormat="1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0" fontId="4" fillId="2" borderId="22" xfId="0" applyFont="1" applyFill="1" applyBorder="1"/>
    <xf numFmtId="0" fontId="4" fillId="2" borderId="5" xfId="0" applyFont="1" applyFill="1" applyBorder="1"/>
    <xf numFmtId="0" fontId="4" fillId="2" borderId="68" xfId="0" applyFont="1" applyFill="1" applyBorder="1"/>
    <xf numFmtId="0" fontId="4" fillId="2" borderId="8" xfId="0" applyFont="1" applyFill="1" applyBorder="1"/>
    <xf numFmtId="0" fontId="4" fillId="2" borderId="69" xfId="0" applyFont="1" applyFill="1" applyBorder="1"/>
    <xf numFmtId="0" fontId="4" fillId="2" borderId="67" xfId="0" applyFont="1" applyFill="1" applyBorder="1"/>
    <xf numFmtId="0" fontId="4" fillId="2" borderId="70" xfId="0" applyFont="1" applyFill="1" applyBorder="1"/>
    <xf numFmtId="9" fontId="4" fillId="2" borderId="26" xfId="1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66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0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/>
    </xf>
    <xf numFmtId="0" fontId="8" fillId="3" borderId="64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8" fillId="3" borderId="3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62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4" borderId="37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6" fillId="4" borderId="35" xfId="0" applyFont="1" applyFill="1" applyBorder="1" applyAlignment="1">
      <alignment horizontal="left" wrapText="1"/>
    </xf>
    <xf numFmtId="0" fontId="6" fillId="4" borderId="15" xfId="0" applyFont="1" applyFill="1" applyBorder="1" applyAlignment="1">
      <alignment horizontal="left" wrapText="1"/>
    </xf>
    <xf numFmtId="0" fontId="6" fillId="4" borderId="28" xfId="0" applyFont="1" applyFill="1" applyBorder="1" applyAlignment="1">
      <alignment horizontal="left" wrapText="1"/>
    </xf>
    <xf numFmtId="0" fontId="6" fillId="4" borderId="62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52" xfId="0" applyFont="1" applyFill="1" applyBorder="1" applyAlignment="1">
      <alignment horizontal="left" wrapText="1"/>
    </xf>
    <xf numFmtId="0" fontId="3" fillId="4" borderId="3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2" borderId="61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9" fontId="4" fillId="2" borderId="55" xfId="1" applyFont="1" applyFill="1" applyBorder="1" applyAlignment="1">
      <alignment horizontal="center"/>
    </xf>
    <xf numFmtId="0" fontId="4" fillId="2" borderId="71" xfId="0" applyFont="1" applyFill="1" applyBorder="1" applyAlignment="1">
      <alignment horizontal="center"/>
    </xf>
    <xf numFmtId="9" fontId="4" fillId="2" borderId="72" xfId="1" applyFont="1" applyFill="1" applyBorder="1" applyAlignment="1">
      <alignment horizontal="center"/>
    </xf>
    <xf numFmtId="0" fontId="4" fillId="2" borderId="7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tabSelected="1" workbookViewId="0">
      <selection activeCell="S17" sqref="S17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2" thickTop="1" thickBot="1" x14ac:dyDescent="0.4">
      <c r="A2" s="48" t="s">
        <v>97</v>
      </c>
      <c r="B2" s="29">
        <f>COUNTIFS(A4:M27,"&gt;=10",A4:M27,"&lt;=99")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4"/>
  <sheetViews>
    <sheetView showGridLines="0" workbookViewId="0">
      <selection activeCell="C15" sqref="C15"/>
    </sheetView>
  </sheetViews>
  <sheetFormatPr defaultRowHeight="14.4" x14ac:dyDescent="0.3"/>
  <cols>
    <col min="1" max="1" width="10.21875" customWidth="1"/>
    <col min="5" max="5" width="17.88671875" customWidth="1"/>
  </cols>
  <sheetData>
    <row r="1" spans="1:13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13" ht="19.2" thickTop="1" thickBot="1" x14ac:dyDescent="0.4">
      <c r="A2" s="51" t="s">
        <v>97</v>
      </c>
      <c r="B2" s="60">
        <f>COUNTIFS(H4:M10,"&gt;1",H4:M10,"&lt;3")</f>
        <v>24</v>
      </c>
      <c r="C2" s="60"/>
      <c r="D2" s="28"/>
      <c r="E2" s="28"/>
      <c r="F2" s="49"/>
      <c r="G2" s="26"/>
    </row>
    <row r="3" spans="1:13" ht="15.6" thickTop="1" thickBot="1" x14ac:dyDescent="0.35">
      <c r="C3" s="43"/>
      <c r="D3" s="23"/>
      <c r="E3" s="43"/>
      <c r="F3" s="43"/>
    </row>
    <row r="4" spans="1:13" ht="16.2" thickTop="1" x14ac:dyDescent="0.3">
      <c r="A4" s="126" t="s">
        <v>10</v>
      </c>
      <c r="B4" s="127" t="s">
        <v>1</v>
      </c>
      <c r="C4" s="128" t="s">
        <v>13</v>
      </c>
      <c r="D4" s="127" t="s">
        <v>25</v>
      </c>
      <c r="E4" s="128" t="s">
        <v>11</v>
      </c>
      <c r="F4" s="128" t="s">
        <v>107</v>
      </c>
      <c r="G4" s="26"/>
      <c r="H4" s="125">
        <f>LEN(A4)</f>
        <v>2</v>
      </c>
      <c r="I4" s="125">
        <f t="shared" ref="I4:M10" si="0">LEN(B4)</f>
        <v>1</v>
      </c>
      <c r="J4" s="125">
        <f t="shared" si="0"/>
        <v>2</v>
      </c>
      <c r="K4" s="125">
        <f t="shared" si="0"/>
        <v>3</v>
      </c>
      <c r="L4" s="125">
        <f t="shared" si="0"/>
        <v>2</v>
      </c>
      <c r="M4" s="125">
        <f t="shared" si="0"/>
        <v>3</v>
      </c>
    </row>
    <row r="5" spans="1:13" ht="15.6" x14ac:dyDescent="0.3">
      <c r="A5" s="129" t="s">
        <v>11</v>
      </c>
      <c r="B5" s="128" t="s">
        <v>12</v>
      </c>
      <c r="C5" s="128" t="s">
        <v>14</v>
      </c>
      <c r="D5" s="128" t="s">
        <v>22</v>
      </c>
      <c r="E5" s="128" t="s">
        <v>11</v>
      </c>
      <c r="F5" s="128" t="s">
        <v>106</v>
      </c>
      <c r="G5" s="26"/>
      <c r="H5" s="125">
        <f t="shared" ref="H5:H10" si="1">LEN(A5)</f>
        <v>2</v>
      </c>
      <c r="I5" s="125">
        <f t="shared" si="0"/>
        <v>2</v>
      </c>
      <c r="J5" s="125">
        <f t="shared" si="0"/>
        <v>3</v>
      </c>
      <c r="K5" s="125">
        <f t="shared" si="0"/>
        <v>3</v>
      </c>
      <c r="L5" s="125">
        <f t="shared" si="0"/>
        <v>2</v>
      </c>
      <c r="M5" s="125">
        <f t="shared" si="0"/>
        <v>3</v>
      </c>
    </row>
    <row r="6" spans="1:13" ht="15.6" x14ac:dyDescent="0.3">
      <c r="A6" s="129" t="s">
        <v>15</v>
      </c>
      <c r="B6" s="128" t="s">
        <v>16</v>
      </c>
      <c r="C6" s="128" t="s">
        <v>17</v>
      </c>
      <c r="D6" s="128" t="s">
        <v>26</v>
      </c>
      <c r="E6" s="128" t="s">
        <v>99</v>
      </c>
      <c r="F6" s="128" t="s">
        <v>16</v>
      </c>
      <c r="G6" s="26"/>
      <c r="H6" s="125">
        <f t="shared" si="1"/>
        <v>3</v>
      </c>
      <c r="I6" s="125">
        <f t="shared" si="0"/>
        <v>1</v>
      </c>
      <c r="J6" s="125">
        <f t="shared" si="0"/>
        <v>4</v>
      </c>
      <c r="K6" s="125">
        <f t="shared" si="0"/>
        <v>2</v>
      </c>
      <c r="L6" s="125">
        <f t="shared" si="0"/>
        <v>3</v>
      </c>
      <c r="M6" s="125">
        <f t="shared" si="0"/>
        <v>1</v>
      </c>
    </row>
    <row r="7" spans="1:13" ht="15.6" x14ac:dyDescent="0.3">
      <c r="A7" s="129" t="s">
        <v>18</v>
      </c>
      <c r="B7" s="128" t="s">
        <v>19</v>
      </c>
      <c r="C7" s="128" t="s">
        <v>19</v>
      </c>
      <c r="D7" s="128" t="s">
        <v>26</v>
      </c>
      <c r="E7" s="128" t="s">
        <v>18</v>
      </c>
      <c r="F7" s="128" t="s">
        <v>102</v>
      </c>
      <c r="G7" s="26"/>
      <c r="H7" s="125">
        <f t="shared" si="1"/>
        <v>2</v>
      </c>
      <c r="I7" s="125">
        <f t="shared" si="0"/>
        <v>2</v>
      </c>
      <c r="J7" s="125">
        <f t="shared" si="0"/>
        <v>2</v>
      </c>
      <c r="K7" s="125">
        <f t="shared" si="0"/>
        <v>2</v>
      </c>
      <c r="L7" s="125">
        <f t="shared" si="0"/>
        <v>2</v>
      </c>
      <c r="M7" s="125">
        <f t="shared" si="0"/>
        <v>2</v>
      </c>
    </row>
    <row r="8" spans="1:13" ht="15.6" x14ac:dyDescent="0.3">
      <c r="A8" s="129" t="s">
        <v>20</v>
      </c>
      <c r="B8" s="128" t="s">
        <v>21</v>
      </c>
      <c r="C8" s="128" t="s">
        <v>22</v>
      </c>
      <c r="D8" s="128" t="s">
        <v>27</v>
      </c>
      <c r="E8" s="128" t="s">
        <v>100</v>
      </c>
      <c r="F8" s="130" t="s">
        <v>103</v>
      </c>
      <c r="H8" s="125">
        <f t="shared" si="1"/>
        <v>4</v>
      </c>
      <c r="I8" s="125">
        <f t="shared" si="0"/>
        <v>4</v>
      </c>
      <c r="J8" s="125">
        <f t="shared" si="0"/>
        <v>3</v>
      </c>
      <c r="K8" s="125">
        <f t="shared" si="0"/>
        <v>2</v>
      </c>
      <c r="L8" s="125">
        <f t="shared" si="0"/>
        <v>2</v>
      </c>
      <c r="M8" s="125">
        <f t="shared" si="0"/>
        <v>3</v>
      </c>
    </row>
    <row r="9" spans="1:13" ht="15.6" x14ac:dyDescent="0.3">
      <c r="A9" s="129" t="s">
        <v>23</v>
      </c>
      <c r="B9" s="128" t="s">
        <v>21</v>
      </c>
      <c r="C9" s="128" t="s">
        <v>24</v>
      </c>
      <c r="D9" s="128" t="s">
        <v>24</v>
      </c>
      <c r="E9" s="128" t="s">
        <v>23</v>
      </c>
      <c r="F9" s="128" t="s">
        <v>104</v>
      </c>
      <c r="G9" s="26"/>
      <c r="H9" s="125">
        <f t="shared" si="1"/>
        <v>2</v>
      </c>
      <c r="I9" s="125">
        <f t="shared" si="0"/>
        <v>4</v>
      </c>
      <c r="J9" s="125">
        <f t="shared" si="0"/>
        <v>2</v>
      </c>
      <c r="K9" s="125">
        <f t="shared" si="0"/>
        <v>2</v>
      </c>
      <c r="L9" s="125">
        <f t="shared" si="0"/>
        <v>2</v>
      </c>
      <c r="M9" s="125">
        <f t="shared" si="0"/>
        <v>3</v>
      </c>
    </row>
    <row r="10" spans="1:13" ht="16.2" thickBot="1" x14ac:dyDescent="0.35">
      <c r="A10" s="129" t="s">
        <v>23</v>
      </c>
      <c r="B10" s="131" t="s">
        <v>23</v>
      </c>
      <c r="C10" s="131" t="s">
        <v>24</v>
      </c>
      <c r="D10" s="131" t="s">
        <v>28</v>
      </c>
      <c r="E10" s="128" t="s">
        <v>101</v>
      </c>
      <c r="F10" s="128" t="s">
        <v>105</v>
      </c>
      <c r="G10" s="26"/>
      <c r="H10" s="125">
        <f t="shared" si="1"/>
        <v>2</v>
      </c>
      <c r="I10" s="125">
        <f t="shared" si="0"/>
        <v>2</v>
      </c>
      <c r="J10" s="125">
        <f t="shared" si="0"/>
        <v>2</v>
      </c>
      <c r="K10" s="125">
        <f t="shared" si="0"/>
        <v>3</v>
      </c>
      <c r="L10" s="125">
        <f t="shared" si="0"/>
        <v>2</v>
      </c>
      <c r="M10" s="125">
        <f t="shared" si="0"/>
        <v>2</v>
      </c>
    </row>
    <row r="11" spans="1:13" ht="15" thickTop="1" x14ac:dyDescent="0.3">
      <c r="A11" s="23"/>
      <c r="E11" s="23"/>
      <c r="F11" s="23"/>
    </row>
    <row r="13" spans="1:13" ht="15.6" x14ac:dyDescent="0.3">
      <c r="A13" s="128" t="s">
        <v>152</v>
      </c>
      <c r="B13" s="128" t="s">
        <v>151</v>
      </c>
      <c r="C13">
        <f>COUNTIF(A4:F10,"??")</f>
        <v>24</v>
      </c>
    </row>
    <row r="14" spans="1:13" ht="15.6" x14ac:dyDescent="0.3">
      <c r="A14" s="128" t="s">
        <v>153</v>
      </c>
      <c r="B14" s="128" t="s">
        <v>151</v>
      </c>
      <c r="C14" cm="1">
        <f t="array" ref="C14">SUMPRODUCT(--(LEN(A4:F10)=2))</f>
        <v>24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5" sqref="B5"/>
    </sheetView>
  </sheetViews>
  <sheetFormatPr defaultRowHeight="14.4" x14ac:dyDescent="0.3"/>
  <cols>
    <col min="1" max="1" width="8.77734375" customWidth="1"/>
  </cols>
  <sheetData>
    <row r="1" spans="1:10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0" ht="19.2" thickTop="1" thickBot="1" x14ac:dyDescent="0.4">
      <c r="A3" s="10" t="s">
        <v>109</v>
      </c>
      <c r="B3" s="13" t="s">
        <v>149</v>
      </c>
      <c r="C3" s="53"/>
      <c r="D3" s="13"/>
      <c r="E3" s="40"/>
      <c r="F3" s="53"/>
      <c r="G3" s="13"/>
      <c r="H3" s="53"/>
      <c r="I3" s="57"/>
    </row>
    <row r="4" spans="1:10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</row>
    <row r="5" spans="1:10" ht="19.2" thickTop="1" thickBot="1" x14ac:dyDescent="0.4">
      <c r="A5" s="51" t="s">
        <v>97</v>
      </c>
      <c r="B5" s="28">
        <f>LEN(B3)-LEN(SUBSTITUTE(B3," ",""))</f>
        <v>9</v>
      </c>
      <c r="C5" s="29"/>
      <c r="D5" s="29"/>
      <c r="E5" s="28"/>
      <c r="F5" s="28"/>
      <c r="G5" s="28"/>
      <c r="H5" s="29"/>
      <c r="I5" s="30"/>
      <c r="J5" s="26"/>
    </row>
    <row r="6" spans="1:10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0" ht="19.2" thickTop="1" thickBot="1" x14ac:dyDescent="0.4">
      <c r="A7" s="39" t="s">
        <v>110</v>
      </c>
      <c r="B7" s="11" t="s">
        <v>150</v>
      </c>
      <c r="C7" s="40"/>
      <c r="D7" s="13"/>
      <c r="E7" s="13"/>
      <c r="F7" s="11"/>
      <c r="G7" s="13"/>
      <c r="H7" s="40"/>
      <c r="I7" s="59"/>
    </row>
    <row r="8" spans="1:10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</row>
    <row r="9" spans="1:10" ht="19.2" thickTop="1" thickBot="1" x14ac:dyDescent="0.4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" thickTop="1" x14ac:dyDescent="0.3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43" t="s">
        <v>97</v>
      </c>
      <c r="B2" s="66" t="s">
        <v>111</v>
      </c>
      <c r="C2" s="42" t="s">
        <v>29</v>
      </c>
      <c r="D2" s="140" t="s">
        <v>114</v>
      </c>
      <c r="E2" s="141"/>
      <c r="F2" s="141"/>
      <c r="G2" s="141"/>
      <c r="H2" s="141"/>
      <c r="I2" s="141"/>
      <c r="J2" s="141"/>
      <c r="K2" s="141"/>
      <c r="L2" s="142"/>
      <c r="O2" s="16" t="s">
        <v>1</v>
      </c>
      <c r="P2" s="17">
        <v>40825</v>
      </c>
    </row>
    <row r="3" spans="1:16" ht="18.45" customHeight="1" thickTop="1" thickBot="1" x14ac:dyDescent="0.4">
      <c r="A3" s="144"/>
      <c r="B3" s="67">
        <v>12</v>
      </c>
      <c r="C3" s="70" t="s">
        <v>71</v>
      </c>
      <c r="D3" s="145"/>
      <c r="E3" s="146"/>
      <c r="F3" s="146"/>
      <c r="G3" s="146"/>
      <c r="H3" s="146"/>
      <c r="I3" s="146"/>
      <c r="J3" s="146"/>
      <c r="K3" s="146"/>
      <c r="L3" s="148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43" t="s">
        <v>97</v>
      </c>
      <c r="B6" s="46" t="s">
        <v>113</v>
      </c>
      <c r="C6" s="66" t="s">
        <v>29</v>
      </c>
      <c r="D6" s="140" t="s">
        <v>114</v>
      </c>
      <c r="E6" s="141"/>
      <c r="F6" s="141"/>
      <c r="G6" s="141"/>
      <c r="H6" s="141"/>
      <c r="I6" s="141"/>
      <c r="J6" s="141"/>
      <c r="K6" s="141"/>
      <c r="L6" s="142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44"/>
      <c r="B7" s="67">
        <v>2011</v>
      </c>
      <c r="C7" s="68" t="s">
        <v>1</v>
      </c>
      <c r="D7" s="145"/>
      <c r="E7" s="146"/>
      <c r="F7" s="146"/>
      <c r="G7" s="146"/>
      <c r="H7" s="146"/>
      <c r="I7" s="146"/>
      <c r="J7" s="146"/>
      <c r="K7" s="146"/>
      <c r="L7" s="147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G5" sqref="G5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10.77734375" bestFit="1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115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33" t="str">
        <f>TEXT(A5,"DD MMMM YYYY")</f>
        <v>19 October 2011</v>
      </c>
      <c r="C5" s="33" t="str">
        <f>TEXT(A5,"DD-MM")</f>
        <v>19-10</v>
      </c>
      <c r="D5" s="34" t="str">
        <f>TEXT(A5,"MMMM-YY")</f>
        <v>October-11</v>
      </c>
      <c r="E5" s="33" t="str">
        <f>TEXT(A5,"MM-MMM")</f>
        <v>10-Oct</v>
      </c>
      <c r="F5" s="33" t="str">
        <f>TEXT(A5,"MM-MMM-YY")</f>
        <v>10-Oct-11</v>
      </c>
      <c r="G5" s="33" t="str">
        <f>TEXT(A5,"DDDD,MMMM DD,YYYY")</f>
        <v>Wednesday,October 19,2011</v>
      </c>
    </row>
    <row r="6" spans="1:9" ht="19.2" thickTop="1" thickBot="1" x14ac:dyDescent="0.4">
      <c r="A6" s="35">
        <v>40826.007638888892</v>
      </c>
      <c r="B6" s="33" t="str">
        <f t="shared" ref="B6:B16" si="0">TEXT(A6,"DD MMMM YYYY")</f>
        <v>10 October 2011</v>
      </c>
      <c r="C6" s="33" t="str">
        <f t="shared" ref="C6:C16" si="1">TEXT(A6,"DD-MM")</f>
        <v>10-10</v>
      </c>
      <c r="D6" s="34" t="str">
        <f t="shared" ref="D6:D16" si="2">TEXT(A6,"MMMM-YY")</f>
        <v>October-11</v>
      </c>
      <c r="E6" s="33" t="str">
        <f t="shared" ref="E6:E16" si="3">TEXT(A6,"MM-MMM")</f>
        <v>10-Oct</v>
      </c>
      <c r="F6" s="33" t="str">
        <f t="shared" ref="F6:F16" si="4">TEXT(A6,"MM-MMM-YY")</f>
        <v>10-Oct-11</v>
      </c>
      <c r="G6" s="33" t="str">
        <f t="shared" ref="G6:G16" si="5">TEXT(A6,"DDDD,MMMM DD,YYYY")</f>
        <v>Monday,October 10,2011</v>
      </c>
    </row>
    <row r="7" spans="1:9" ht="19.2" thickTop="1" thickBot="1" x14ac:dyDescent="0.4">
      <c r="A7" s="35">
        <v>40827.007638888892</v>
      </c>
      <c r="B7" s="33" t="str">
        <f t="shared" si="0"/>
        <v>11 October 2011</v>
      </c>
      <c r="C7" s="33" t="str">
        <f t="shared" si="1"/>
        <v>11-10</v>
      </c>
      <c r="D7" s="34" t="str">
        <f t="shared" si="2"/>
        <v>October-11</v>
      </c>
      <c r="E7" s="33" t="str">
        <f t="shared" si="3"/>
        <v>10-Oct</v>
      </c>
      <c r="F7" s="33" t="str">
        <f t="shared" si="4"/>
        <v>10-Oct-11</v>
      </c>
      <c r="G7" s="33" t="str">
        <f t="shared" si="5"/>
        <v>Tuesday,October 11,2011</v>
      </c>
    </row>
    <row r="8" spans="1:9" ht="19.2" thickTop="1" thickBot="1" x14ac:dyDescent="0.4">
      <c r="A8" s="35">
        <v>40828.007638888892</v>
      </c>
      <c r="B8" s="33" t="str">
        <f t="shared" si="0"/>
        <v>12 October 2011</v>
      </c>
      <c r="C8" s="33" t="str">
        <f t="shared" si="1"/>
        <v>12-10</v>
      </c>
      <c r="D8" s="34" t="str">
        <f t="shared" si="2"/>
        <v>October-11</v>
      </c>
      <c r="E8" s="33" t="str">
        <f t="shared" si="3"/>
        <v>10-Oct</v>
      </c>
      <c r="F8" s="33" t="str">
        <f t="shared" si="4"/>
        <v>10-Oct-11</v>
      </c>
      <c r="G8" s="33" t="str">
        <f t="shared" si="5"/>
        <v>Wednesday,October 12,2011</v>
      </c>
    </row>
    <row r="9" spans="1:9" ht="19.2" thickTop="1" thickBot="1" x14ac:dyDescent="0.4">
      <c r="A9" s="35">
        <v>40829.007638888892</v>
      </c>
      <c r="B9" s="33" t="str">
        <f t="shared" si="0"/>
        <v>13 October 2011</v>
      </c>
      <c r="C9" s="33" t="str">
        <f t="shared" si="1"/>
        <v>13-10</v>
      </c>
      <c r="D9" s="34" t="str">
        <f t="shared" si="2"/>
        <v>October-11</v>
      </c>
      <c r="E9" s="33" t="str">
        <f t="shared" si="3"/>
        <v>10-Oct</v>
      </c>
      <c r="F9" s="33" t="str">
        <f t="shared" si="4"/>
        <v>10-Oct-11</v>
      </c>
      <c r="G9" s="33" t="str">
        <f t="shared" si="5"/>
        <v>Thursday,October 13,2011</v>
      </c>
      <c r="I9" s="19"/>
    </row>
    <row r="10" spans="1:9" ht="19.2" thickTop="1" thickBot="1" x14ac:dyDescent="0.4">
      <c r="A10" s="35">
        <v>40830.007638888892</v>
      </c>
      <c r="B10" s="33" t="str">
        <f t="shared" si="0"/>
        <v>14 October 2011</v>
      </c>
      <c r="C10" s="33" t="str">
        <f t="shared" si="1"/>
        <v>14-10</v>
      </c>
      <c r="D10" s="34" t="str">
        <f t="shared" si="2"/>
        <v>October-11</v>
      </c>
      <c r="E10" s="33" t="str">
        <f t="shared" si="3"/>
        <v>10-Oct</v>
      </c>
      <c r="F10" s="33" t="str">
        <f t="shared" si="4"/>
        <v>10-Oct-11</v>
      </c>
      <c r="G10" s="33" t="str">
        <f t="shared" si="5"/>
        <v>Friday,October 14,2011</v>
      </c>
      <c r="I10"/>
    </row>
    <row r="11" spans="1:9" ht="19.2" thickTop="1" thickBot="1" x14ac:dyDescent="0.4">
      <c r="A11" s="35">
        <v>40831.007638888892</v>
      </c>
      <c r="B11" s="33" t="str">
        <f t="shared" si="0"/>
        <v>15 October 2011</v>
      </c>
      <c r="C11" s="33" t="str">
        <f t="shared" si="1"/>
        <v>15-10</v>
      </c>
      <c r="D11" s="34" t="str">
        <f t="shared" si="2"/>
        <v>October-11</v>
      </c>
      <c r="E11" s="33" t="str">
        <f t="shared" si="3"/>
        <v>10-Oct</v>
      </c>
      <c r="F11" s="33" t="str">
        <f t="shared" si="4"/>
        <v>10-Oct-11</v>
      </c>
      <c r="G11" s="33" t="str">
        <f t="shared" si="5"/>
        <v>Saturday,October 15,2011</v>
      </c>
    </row>
    <row r="12" spans="1:9" ht="19.2" thickTop="1" thickBot="1" x14ac:dyDescent="0.4">
      <c r="A12" s="35">
        <v>40832.007638888892</v>
      </c>
      <c r="B12" s="33" t="str">
        <f t="shared" si="0"/>
        <v>16 October 2011</v>
      </c>
      <c r="C12" s="33" t="str">
        <f t="shared" si="1"/>
        <v>16-10</v>
      </c>
      <c r="D12" s="34" t="str">
        <f t="shared" si="2"/>
        <v>October-11</v>
      </c>
      <c r="E12" s="33" t="str">
        <f t="shared" si="3"/>
        <v>10-Oct</v>
      </c>
      <c r="F12" s="33" t="str">
        <f t="shared" si="4"/>
        <v>10-Oct-11</v>
      </c>
      <c r="G12" s="33" t="str">
        <f t="shared" si="5"/>
        <v>Sunday,October 16,2011</v>
      </c>
      <c r="H12" s="26"/>
    </row>
    <row r="13" spans="1:9" ht="19.2" thickTop="1" thickBot="1" x14ac:dyDescent="0.4">
      <c r="A13" s="36">
        <v>40833.007638888892</v>
      </c>
      <c r="B13" s="33" t="str">
        <f t="shared" si="0"/>
        <v>17 October 2011</v>
      </c>
      <c r="C13" s="33" t="str">
        <f t="shared" si="1"/>
        <v>17-10</v>
      </c>
      <c r="D13" s="34" t="str">
        <f t="shared" si="2"/>
        <v>October-11</v>
      </c>
      <c r="E13" s="33" t="str">
        <f t="shared" si="3"/>
        <v>10-Oct</v>
      </c>
      <c r="F13" s="33" t="str">
        <f t="shared" si="4"/>
        <v>10-Oct-11</v>
      </c>
      <c r="G13" s="33" t="str">
        <f t="shared" si="5"/>
        <v>Monday,October 17,2011</v>
      </c>
      <c r="I13"/>
    </row>
    <row r="14" spans="1:9" ht="19.2" thickTop="1" thickBot="1" x14ac:dyDescent="0.4">
      <c r="A14" s="36">
        <v>40834.007638888892</v>
      </c>
      <c r="B14" s="33" t="str">
        <f t="shared" si="0"/>
        <v>18 October 2011</v>
      </c>
      <c r="C14" s="33" t="str">
        <f t="shared" si="1"/>
        <v>18-10</v>
      </c>
      <c r="D14" s="34" t="str">
        <f t="shared" si="2"/>
        <v>October-11</v>
      </c>
      <c r="E14" s="33" t="str">
        <f t="shared" si="3"/>
        <v>10-Oct</v>
      </c>
      <c r="F14" s="33" t="str">
        <f t="shared" si="4"/>
        <v>10-Oct-11</v>
      </c>
      <c r="G14" s="33" t="str">
        <f t="shared" si="5"/>
        <v>Tuesday,October 18,2011</v>
      </c>
    </row>
    <row r="15" spans="1:9" ht="19.2" thickTop="1" thickBot="1" x14ac:dyDescent="0.4">
      <c r="A15" s="36">
        <v>40835.007638888892</v>
      </c>
      <c r="B15" s="33" t="str">
        <f t="shared" si="0"/>
        <v>19 October 2011</v>
      </c>
      <c r="C15" s="33" t="str">
        <f t="shared" si="1"/>
        <v>19-10</v>
      </c>
      <c r="D15" s="34" t="str">
        <f t="shared" si="2"/>
        <v>October-11</v>
      </c>
      <c r="E15" s="33" t="str">
        <f t="shared" si="3"/>
        <v>10-Oct</v>
      </c>
      <c r="F15" s="33" t="str">
        <f t="shared" si="4"/>
        <v>10-Oct-11</v>
      </c>
      <c r="G15" s="33" t="str">
        <f t="shared" si="5"/>
        <v>Wednesday,October 19,2011</v>
      </c>
    </row>
    <row r="16" spans="1:9" ht="19.2" thickTop="1" thickBot="1" x14ac:dyDescent="0.4">
      <c r="A16" s="37">
        <v>40836.007638888892</v>
      </c>
      <c r="B16" s="33" t="str">
        <f t="shared" si="0"/>
        <v>20 October 2011</v>
      </c>
      <c r="C16" s="33" t="str">
        <f t="shared" si="1"/>
        <v>20-10</v>
      </c>
      <c r="D16" s="34" t="str">
        <f t="shared" si="2"/>
        <v>October-11</v>
      </c>
      <c r="E16" s="33" t="str">
        <f t="shared" si="3"/>
        <v>10-Oct</v>
      </c>
      <c r="F16" s="33" t="str">
        <f t="shared" si="4"/>
        <v>10-Oct-11</v>
      </c>
      <c r="G16" s="33" t="str">
        <f t="shared" si="5"/>
        <v>Thursday,October 20,2011</v>
      </c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C12" sqref="C12"/>
    </sheetView>
  </sheetViews>
  <sheetFormatPr defaultRowHeight="14.4" x14ac:dyDescent="0.3"/>
  <cols>
    <col min="1" max="1" width="25.5546875" customWidth="1"/>
    <col min="2" max="3" width="1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88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2" thickTop="1" thickBot="1" x14ac:dyDescent="0.4">
      <c r="A2" s="87"/>
      <c r="B2" s="86"/>
      <c r="C2" s="91"/>
      <c r="D2" s="90"/>
      <c r="E2" s="90"/>
      <c r="F2" s="91"/>
      <c r="G2" s="90"/>
      <c r="H2" s="90"/>
      <c r="I2" s="86"/>
      <c r="J2" s="89"/>
    </row>
    <row r="3" spans="1:10" ht="19.2" thickTop="1" thickBot="1" x14ac:dyDescent="0.4">
      <c r="A3" s="85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84" t="s">
        <v>30</v>
      </c>
      <c r="B4" s="82" t="s">
        <v>31</v>
      </c>
      <c r="C4" s="82" t="s">
        <v>32</v>
      </c>
      <c r="D4" s="82" t="s">
        <v>33</v>
      </c>
      <c r="E4" s="82" t="s">
        <v>34</v>
      </c>
      <c r="F4" s="82" t="s">
        <v>35</v>
      </c>
      <c r="G4" s="82" t="s">
        <v>36</v>
      </c>
      <c r="H4" s="82" t="s">
        <v>37</v>
      </c>
      <c r="I4" s="82" t="s">
        <v>38</v>
      </c>
      <c r="J4" s="26"/>
    </row>
    <row r="5" spans="1:10" ht="16.8" thickTop="1" thickBot="1" x14ac:dyDescent="0.35">
      <c r="A5" s="78" t="s">
        <v>39</v>
      </c>
      <c r="B5" s="81" t="str">
        <f>LEFT(A5,SEARCH(" ",A5)-1)</f>
        <v>Rohit</v>
      </c>
      <c r="C5" s="81" t="str">
        <f>RIGHT(A5,LEN(A5)-SEARCH(" ",A5))</f>
        <v>Gupta</v>
      </c>
      <c r="D5" s="81" t="str">
        <f>IFERROR(MID(A5,SEARCH(" ",A5)+1,SEARCH(" ",A5,SEARCH(" ",A5)+1)-SEARCH(" ",A5)),"NA")</f>
        <v>NA</v>
      </c>
      <c r="E5" s="81">
        <f>LEN(A5)</f>
        <v>11</v>
      </c>
      <c r="F5" s="81">
        <f>SEARCH(" ",A5)</f>
        <v>6</v>
      </c>
      <c r="G5" s="81" t="str">
        <f t="shared" ref="G5:G6" si="0">IFERROR(SEARCH(" ",A5,SEARCH(" ",A5)+1),"NA")</f>
        <v>NA</v>
      </c>
      <c r="H5" s="81" t="str">
        <f>SUBSTITUTE(A5," ","-")</f>
        <v>Rohit-Gupta</v>
      </c>
      <c r="I5" s="92">
        <f>LEN(A5)-LEN(SUBSTITUTE(A5," ",""))</f>
        <v>1</v>
      </c>
    </row>
    <row r="6" spans="1:10" ht="16.8" thickTop="1" thickBot="1" x14ac:dyDescent="0.35">
      <c r="A6" s="79" t="s">
        <v>40</v>
      </c>
      <c r="B6" s="81" t="str">
        <f t="shared" ref="B6:B11" si="1">LEFT(A6,SEARCH(" ",A6)-1)</f>
        <v>Sanjeev</v>
      </c>
      <c r="C6" s="81" t="str">
        <f t="shared" ref="C6" si="2">RIGHT(A6,E6-F6)</f>
        <v>kumar</v>
      </c>
      <c r="D6" s="81" t="str">
        <f>IFERROR(MID(A6,SEARCH(" ",A6)+1,SEARCH(" ",A6,SEARCH(" ",A6)+1)-SEARCH(" ",A6)),"NA")</f>
        <v>NA</v>
      </c>
      <c r="E6" s="81">
        <f t="shared" ref="E6:E11" si="3">LEN(A6)</f>
        <v>13</v>
      </c>
      <c r="F6" s="81">
        <f t="shared" ref="F6:F11" si="4">SEARCH(" ",A6)</f>
        <v>8</v>
      </c>
      <c r="G6" s="81" t="str">
        <f t="shared" si="0"/>
        <v>NA</v>
      </c>
      <c r="H6" s="81" t="str">
        <f t="shared" ref="H6:H11" si="5">SUBSTITUTE(A6," ","-")</f>
        <v>Sanjeev-kumar</v>
      </c>
      <c r="I6" s="92">
        <f t="shared" ref="I6:I11" si="6">LEN(A6)-LEN(SUBSTITUTE(A6," ",""))</f>
        <v>1</v>
      </c>
    </row>
    <row r="7" spans="1:10" ht="16.8" thickTop="1" thickBot="1" x14ac:dyDescent="0.35">
      <c r="A7" s="80" t="s">
        <v>41</v>
      </c>
      <c r="B7" s="81" t="str">
        <f t="shared" si="1"/>
        <v>Rohit</v>
      </c>
      <c r="C7" s="81" t="str">
        <f>RIGHT(A7,LEN(A7)-SEARCH(" ",A7,SEARCH(" ",A7)+1))</f>
        <v>Gupta</v>
      </c>
      <c r="D7" s="81" t="str">
        <f>IFERROR(MID(A7,SEARCH(" ",A7)+1,SEARCH(" ",A7,SEARCH(" ",A7)+1)-SEARCH(" ",A7)),"NA")</f>
        <v xml:space="preserve">Kumar </v>
      </c>
      <c r="E7" s="81">
        <f t="shared" si="3"/>
        <v>17</v>
      </c>
      <c r="F7" s="81">
        <f t="shared" si="4"/>
        <v>6</v>
      </c>
      <c r="G7" s="81">
        <f>IFERROR(SEARCH(" ",A7,SEARCH(" ",A7)+1),"NA")</f>
        <v>12</v>
      </c>
      <c r="H7" s="81" t="str">
        <f t="shared" si="5"/>
        <v>Rohit-Kumar-Gupta</v>
      </c>
      <c r="I7" s="92">
        <f t="shared" si="6"/>
        <v>2</v>
      </c>
      <c r="J7" s="26"/>
    </row>
    <row r="8" spans="1:10" ht="16.8" thickTop="1" thickBot="1" x14ac:dyDescent="0.35">
      <c r="A8" s="79" t="s">
        <v>42</v>
      </c>
      <c r="B8" s="81" t="str">
        <f t="shared" si="1"/>
        <v>Naveen</v>
      </c>
      <c r="C8" s="81" t="str">
        <f t="shared" ref="C8:C11" si="7">RIGHT(A8,LEN(A8)-SEARCH(" ",A8,SEARCH(" ",A8)+1))</f>
        <v>Singh</v>
      </c>
      <c r="D8" s="81" t="str">
        <f t="shared" ref="D8:D11" si="8">IFERROR(MID(A8,SEARCH(" ",A8)+1,SEARCH(" ",A8,SEARCH(" ",A8)+1)-SEARCH(" ",A8)),"NA")</f>
        <v xml:space="preserve">Chauhan </v>
      </c>
      <c r="E8" s="81">
        <f t="shared" si="3"/>
        <v>20</v>
      </c>
      <c r="F8" s="81">
        <f t="shared" si="4"/>
        <v>7</v>
      </c>
      <c r="G8" s="81">
        <f t="shared" ref="G8:G11" si="9">IFERROR(SEARCH(" ",A8,SEARCH(" ",A8)+1),"NA")</f>
        <v>15</v>
      </c>
      <c r="H8" s="81" t="str">
        <f t="shared" si="5"/>
        <v>Naveen-Chauhan-Singh</v>
      </c>
      <c r="I8" s="92">
        <f t="shared" si="6"/>
        <v>2</v>
      </c>
    </row>
    <row r="9" spans="1:10" ht="16.8" thickTop="1" thickBot="1" x14ac:dyDescent="0.35">
      <c r="A9" s="79" t="s">
        <v>43</v>
      </c>
      <c r="B9" s="81" t="str">
        <f t="shared" si="1"/>
        <v>Arti</v>
      </c>
      <c r="C9" s="81" t="str">
        <f t="shared" si="7"/>
        <v>Chauhan</v>
      </c>
      <c r="D9" s="81" t="str">
        <f t="shared" si="8"/>
        <v xml:space="preserve">Singh </v>
      </c>
      <c r="E9" s="81">
        <f t="shared" si="3"/>
        <v>18</v>
      </c>
      <c r="F9" s="81">
        <f t="shared" si="4"/>
        <v>5</v>
      </c>
      <c r="G9" s="81">
        <f t="shared" si="9"/>
        <v>11</v>
      </c>
      <c r="H9" s="81" t="str">
        <f t="shared" si="5"/>
        <v>Arti-Singh-Chauhan</v>
      </c>
      <c r="I9" s="92">
        <f t="shared" si="6"/>
        <v>2</v>
      </c>
    </row>
    <row r="10" spans="1:10" ht="16.8" thickTop="1" thickBot="1" x14ac:dyDescent="0.35">
      <c r="A10" s="80" t="s">
        <v>44</v>
      </c>
      <c r="B10" s="81" t="str">
        <f t="shared" si="1"/>
        <v>Rohit</v>
      </c>
      <c r="C10" s="81" t="str">
        <f t="shared" si="7"/>
        <v>Man</v>
      </c>
      <c r="D10" s="81" t="str">
        <f t="shared" si="8"/>
        <v xml:space="preserve">Arora </v>
      </c>
      <c r="E10" s="81">
        <f t="shared" si="3"/>
        <v>15</v>
      </c>
      <c r="F10" s="81">
        <f t="shared" si="4"/>
        <v>6</v>
      </c>
      <c r="G10" s="81">
        <f t="shared" si="9"/>
        <v>12</v>
      </c>
      <c r="H10" s="81" t="str">
        <f t="shared" si="5"/>
        <v>Rohit-Arora-Man</v>
      </c>
      <c r="I10" s="92">
        <f t="shared" si="6"/>
        <v>2</v>
      </c>
    </row>
    <row r="11" spans="1:10" ht="16.8" thickTop="1" thickBot="1" x14ac:dyDescent="0.35">
      <c r="A11" s="83" t="s">
        <v>45</v>
      </c>
      <c r="B11" s="132" t="str">
        <f t="shared" si="1"/>
        <v>Rahul</v>
      </c>
      <c r="C11" s="132" t="str">
        <f t="shared" si="7"/>
        <v>verma</v>
      </c>
      <c r="D11" s="81" t="str">
        <f t="shared" si="8"/>
        <v xml:space="preserve">badhe </v>
      </c>
      <c r="E11" s="81">
        <f t="shared" si="3"/>
        <v>17</v>
      </c>
      <c r="F11" s="81">
        <f t="shared" si="4"/>
        <v>6</v>
      </c>
      <c r="G11" s="81">
        <f t="shared" si="9"/>
        <v>12</v>
      </c>
      <c r="H11" s="81" t="str">
        <f t="shared" si="5"/>
        <v>Rahul-badhe-verma</v>
      </c>
      <c r="I11" s="92">
        <f t="shared" si="6"/>
        <v>2</v>
      </c>
    </row>
    <row r="12" spans="1:10" ht="16.2" thickTop="1" x14ac:dyDescent="0.3">
      <c r="B12" s="133" t="str">
        <f>_xlfn.TEXTBEFORE(A5," ")</f>
        <v>Rohit</v>
      </c>
      <c r="C12" s="134" t="str">
        <f>(_xlfn.TEXTAFTER(A5," "))</f>
        <v>Gupta</v>
      </c>
    </row>
    <row r="13" spans="1:10" ht="15.6" x14ac:dyDescent="0.3">
      <c r="B13" s="135" t="str">
        <f t="shared" ref="B13:B18" si="10">_xlfn.TEXTBEFORE(A6," ")</f>
        <v>Sanjeev</v>
      </c>
      <c r="C13" s="136" t="str">
        <f>(_xlfn.TEXTAFTER(A6," "))</f>
        <v>kumar</v>
      </c>
    </row>
    <row r="14" spans="1:10" ht="15.6" x14ac:dyDescent="0.3">
      <c r="B14" s="135" t="str">
        <f t="shared" si="10"/>
        <v>Rohit</v>
      </c>
      <c r="C14" s="136" t="str">
        <f t="shared" ref="C14:C18" si="11">IFERROR(_xlfn.TEXTAFTER(A7," ",2),"NA")</f>
        <v>Gupta</v>
      </c>
    </row>
    <row r="15" spans="1:10" ht="15.6" x14ac:dyDescent="0.3">
      <c r="B15" s="135" t="str">
        <f t="shared" si="10"/>
        <v>Naveen</v>
      </c>
      <c r="C15" s="136" t="str">
        <f t="shared" si="11"/>
        <v>Singh</v>
      </c>
    </row>
    <row r="16" spans="1:10" ht="15.6" x14ac:dyDescent="0.3">
      <c r="B16" s="135" t="str">
        <f t="shared" si="10"/>
        <v>Arti</v>
      </c>
      <c r="C16" s="136" t="str">
        <f t="shared" si="11"/>
        <v>Chauhan</v>
      </c>
    </row>
    <row r="17" spans="2:4" ht="15.6" x14ac:dyDescent="0.3">
      <c r="B17" s="135" t="str">
        <f t="shared" si="10"/>
        <v>Rohit</v>
      </c>
      <c r="C17" s="136" t="str">
        <f t="shared" si="11"/>
        <v>Man</v>
      </c>
    </row>
    <row r="18" spans="2:4" ht="16.2" thickBot="1" x14ac:dyDescent="0.35">
      <c r="B18" s="137" t="str">
        <f t="shared" si="10"/>
        <v>Rahul</v>
      </c>
      <c r="C18" s="138" t="str">
        <f t="shared" si="11"/>
        <v>verma</v>
      </c>
    </row>
    <row r="19" spans="2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M12"/>
  <sheetViews>
    <sheetView showGridLines="0" workbookViewId="0">
      <selection activeCell="H13" sqref="H13"/>
    </sheetView>
  </sheetViews>
  <sheetFormatPr defaultRowHeight="14.4" x14ac:dyDescent="0.3"/>
  <sheetData>
    <row r="1" spans="1:13" ht="22.2" thickTop="1" thickBot="1" x14ac:dyDescent="0.35">
      <c r="A1" s="162" t="s">
        <v>128</v>
      </c>
      <c r="B1" s="163"/>
      <c r="C1" s="163"/>
      <c r="D1" s="163"/>
      <c r="E1" s="163"/>
      <c r="F1" s="163"/>
      <c r="G1" s="163"/>
      <c r="H1" s="164"/>
      <c r="I1" s="26"/>
    </row>
    <row r="2" spans="1:13" ht="15.6" thickTop="1" thickBot="1" x14ac:dyDescent="0.35">
      <c r="A2" s="43"/>
      <c r="B2" s="23"/>
      <c r="C2" s="23"/>
      <c r="D2" s="23"/>
      <c r="F2" s="23"/>
    </row>
    <row r="3" spans="1:13" ht="19.2" thickTop="1" thickBot="1" x14ac:dyDescent="0.35">
      <c r="A3" s="113" t="s">
        <v>129</v>
      </c>
      <c r="B3" s="165" t="s">
        <v>119</v>
      </c>
      <c r="C3" s="153"/>
      <c r="D3" s="153"/>
      <c r="E3" s="153"/>
      <c r="F3" s="153"/>
      <c r="G3" s="153"/>
      <c r="H3" s="154"/>
    </row>
    <row r="4" spans="1:13" ht="18" thickTop="1" x14ac:dyDescent="0.35">
      <c r="A4" s="112">
        <v>1</v>
      </c>
      <c r="B4" s="166" t="s">
        <v>122</v>
      </c>
      <c r="C4" s="167"/>
      <c r="D4" s="167"/>
      <c r="E4" s="167"/>
      <c r="F4" s="167"/>
      <c r="G4" s="167"/>
      <c r="H4" s="168"/>
    </row>
    <row r="5" spans="1:13" ht="17.399999999999999" x14ac:dyDescent="0.35">
      <c r="A5" s="110">
        <v>2</v>
      </c>
      <c r="B5" s="166" t="s">
        <v>124</v>
      </c>
      <c r="C5" s="167"/>
      <c r="D5" s="167"/>
      <c r="E5" s="167"/>
      <c r="F5" s="167"/>
      <c r="G5" s="167"/>
      <c r="H5" s="168"/>
      <c r="I5" s="26"/>
    </row>
    <row r="6" spans="1:13" ht="18" thickBot="1" x14ac:dyDescent="0.4">
      <c r="A6" s="111">
        <v>3</v>
      </c>
      <c r="B6" s="169" t="s">
        <v>126</v>
      </c>
      <c r="C6" s="170"/>
      <c r="D6" s="170"/>
      <c r="E6" s="170"/>
      <c r="F6" s="170"/>
      <c r="G6" s="170"/>
      <c r="H6" s="171"/>
      <c r="I6" s="26"/>
    </row>
    <row r="7" spans="1:13" ht="15.6" thickTop="1" thickBot="1" x14ac:dyDescent="0.35"/>
    <row r="8" spans="1:13" ht="18.45" customHeight="1" thickTop="1" thickBot="1" x14ac:dyDescent="0.35">
      <c r="A8" s="149" t="s">
        <v>97</v>
      </c>
      <c r="B8" s="152" t="s">
        <v>120</v>
      </c>
      <c r="C8" s="153"/>
      <c r="D8" s="153"/>
      <c r="E8" s="152" t="s">
        <v>121</v>
      </c>
      <c r="F8" s="153"/>
      <c r="G8" s="153"/>
      <c r="H8" s="154"/>
    </row>
    <row r="9" spans="1:13" ht="14.55" customHeight="1" thickTop="1" thickBot="1" x14ac:dyDescent="0.4">
      <c r="A9" s="150"/>
      <c r="B9" s="158" t="s">
        <v>123</v>
      </c>
      <c r="C9" s="159"/>
      <c r="D9" s="160"/>
      <c r="E9" s="155">
        <f>(LEN(B4)-LEN(SUBSTITUTE(B4,B9,"")))/LEN(B9)</f>
        <v>3</v>
      </c>
      <c r="F9" s="156"/>
      <c r="G9" s="156"/>
      <c r="H9" s="157"/>
      <c r="J9">
        <f>LEN(B4)</f>
        <v>46</v>
      </c>
      <c r="K9">
        <f>LEN(SUBSTITUTE(B4,B9,""))</f>
        <v>31</v>
      </c>
      <c r="L9">
        <f>J9-K9</f>
        <v>15</v>
      </c>
      <c r="M9">
        <f>L9/LEN(B9)</f>
        <v>3</v>
      </c>
    </row>
    <row r="10" spans="1:13" ht="14.55" customHeight="1" thickTop="1" thickBot="1" x14ac:dyDescent="0.4">
      <c r="A10" s="150"/>
      <c r="B10" s="161" t="s">
        <v>125</v>
      </c>
      <c r="C10" s="161"/>
      <c r="D10" s="161"/>
      <c r="E10" s="155">
        <f t="shared" ref="E10:E11" si="0">(LEN(B5)-LEN(SUBSTITUTE(B5,B10,"")))/LEN(B10)</f>
        <v>2</v>
      </c>
      <c r="F10" s="156"/>
      <c r="G10" s="156"/>
      <c r="H10" s="157"/>
    </row>
    <row r="11" spans="1:13" ht="14.55" customHeight="1" thickTop="1" thickBot="1" x14ac:dyDescent="0.4">
      <c r="A11" s="151"/>
      <c r="B11" s="161" t="s">
        <v>127</v>
      </c>
      <c r="C11" s="161"/>
      <c r="D11" s="161"/>
      <c r="E11" s="155">
        <f t="shared" si="0"/>
        <v>4</v>
      </c>
      <c r="F11" s="156"/>
      <c r="G11" s="156"/>
      <c r="H11" s="157"/>
      <c r="I11" s="26"/>
    </row>
    <row r="12" spans="1:13" ht="15" thickTop="1" x14ac:dyDescent="0.3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N12"/>
  <sheetViews>
    <sheetView showGridLines="0" workbookViewId="0">
      <selection activeCell="L10" sqref="L10"/>
    </sheetView>
  </sheetViews>
  <sheetFormatPr defaultRowHeight="14.4" x14ac:dyDescent="0.3"/>
  <cols>
    <col min="4" max="4" width="10" customWidth="1"/>
  </cols>
  <sheetData>
    <row r="1" spans="1:14" ht="22.05" customHeight="1" thickTop="1" x14ac:dyDescent="0.3">
      <c r="A1" s="172" t="s">
        <v>140</v>
      </c>
      <c r="B1" s="173"/>
      <c r="C1" s="173"/>
      <c r="D1" s="173"/>
      <c r="E1" s="173"/>
      <c r="F1" s="173"/>
      <c r="G1" s="173"/>
      <c r="H1" s="173"/>
      <c r="I1" s="173"/>
      <c r="J1" s="174"/>
    </row>
    <row r="2" spans="1:14" ht="22.05" customHeight="1" thickBot="1" x14ac:dyDescent="0.35">
      <c r="A2" s="175"/>
      <c r="B2" s="176"/>
      <c r="C2" s="176"/>
      <c r="D2" s="176"/>
      <c r="E2" s="176"/>
      <c r="F2" s="176"/>
      <c r="G2" s="176"/>
      <c r="H2" s="176"/>
      <c r="I2" s="176"/>
      <c r="J2" s="177"/>
    </row>
    <row r="3" spans="1:14" s="18" customFormat="1" ht="22.05" customHeight="1" thickTop="1" thickBot="1" x14ac:dyDescent="0.35">
      <c r="A3" s="120"/>
      <c r="B3" s="115"/>
      <c r="C3" s="115"/>
      <c r="D3" s="115"/>
      <c r="E3" s="121"/>
      <c r="F3" s="115"/>
      <c r="G3" s="115"/>
      <c r="H3" s="115"/>
      <c r="I3" s="115"/>
      <c r="J3" s="115"/>
      <c r="K3" s="115"/>
    </row>
    <row r="4" spans="1:14" s="18" customFormat="1" ht="22.05" customHeight="1" thickTop="1" thickBot="1" x14ac:dyDescent="0.35">
      <c r="A4" s="178" t="s">
        <v>97</v>
      </c>
      <c r="B4" s="178"/>
      <c r="C4" s="178"/>
      <c r="D4" s="178"/>
      <c r="E4" s="178"/>
      <c r="F4" s="178"/>
      <c r="G4" s="178"/>
      <c r="H4" s="178"/>
      <c r="I4" s="178"/>
      <c r="J4" s="179"/>
      <c r="K4" s="118"/>
      <c r="M4"/>
    </row>
    <row r="5" spans="1:14" ht="19.2" thickTop="1" thickBot="1" x14ac:dyDescent="0.35">
      <c r="A5" s="114" t="s">
        <v>141</v>
      </c>
      <c r="B5" s="152" t="s">
        <v>120</v>
      </c>
      <c r="C5" s="153"/>
      <c r="D5" s="154"/>
      <c r="E5" s="152" t="s">
        <v>139</v>
      </c>
      <c r="F5" s="154"/>
      <c r="G5" s="152" t="s">
        <v>138</v>
      </c>
      <c r="H5" s="153"/>
      <c r="I5" s="153"/>
      <c r="J5" s="154"/>
    </row>
    <row r="6" spans="1:14" ht="18.600000000000001" thickTop="1" thickBot="1" x14ac:dyDescent="0.35">
      <c r="A6" s="117">
        <v>1</v>
      </c>
      <c r="B6" s="183" t="s">
        <v>137</v>
      </c>
      <c r="C6" s="187"/>
      <c r="D6" s="184"/>
      <c r="E6" s="183" t="s">
        <v>133</v>
      </c>
      <c r="F6" s="184"/>
      <c r="G6" s="180" t="str">
        <f>PROPER(IF(E6="F","Mrs. ","Mr. ")&amp;RIGHT(B6,LEN(B6)-SEARCH(",",B6))&amp;" "&amp;LEFT(B6,SEARCH(",",B6)-1))</f>
        <v>Mrs. Bharti Gupta</v>
      </c>
      <c r="H6" s="181"/>
      <c r="I6" s="181"/>
      <c r="J6" s="182"/>
      <c r="K6" s="26"/>
      <c r="L6" t="str">
        <f>IF(E6="F","Mrs. ","Mr.")</f>
        <v xml:space="preserve">Mrs. </v>
      </c>
      <c r="M6" t="str">
        <f>RIGHT(B6,LEN(B6)-SEARCH(",",B6))</f>
        <v>bharti</v>
      </c>
      <c r="N6" t="str">
        <f>LEFT(B6,SEARCH(",",B6)-1)</f>
        <v>gupta</v>
      </c>
    </row>
    <row r="7" spans="1:14" ht="18.600000000000001" thickTop="1" thickBot="1" x14ac:dyDescent="0.35">
      <c r="A7" s="119">
        <v>2</v>
      </c>
      <c r="B7" s="188" t="s">
        <v>136</v>
      </c>
      <c r="C7" s="188"/>
      <c r="D7" s="188"/>
      <c r="E7" s="185" t="s">
        <v>130</v>
      </c>
      <c r="F7" s="186"/>
      <c r="G7" s="180" t="str">
        <f t="shared" ref="G7:G11" si="0">PROPER(IF(E7="F","Mrs. ","Mr. ")&amp;RIGHT(B7,LEN(B7)-SEARCH(",",B7))&amp;" "&amp;LEFT(B7,SEARCH(",",B7)-1))</f>
        <v>Mr. Chandan Negi</v>
      </c>
      <c r="H7" s="181"/>
      <c r="I7" s="181"/>
      <c r="J7" s="182"/>
      <c r="K7" s="26"/>
    </row>
    <row r="8" spans="1:14" ht="18.600000000000001" thickTop="1" thickBot="1" x14ac:dyDescent="0.35">
      <c r="A8" s="116">
        <v>3</v>
      </c>
      <c r="B8" s="185" t="s">
        <v>135</v>
      </c>
      <c r="C8" s="188"/>
      <c r="D8" s="186"/>
      <c r="E8" s="185" t="s">
        <v>133</v>
      </c>
      <c r="F8" s="186"/>
      <c r="G8" s="180" t="str">
        <f t="shared" si="0"/>
        <v>Mrs. Neha Malhotra</v>
      </c>
      <c r="H8" s="181"/>
      <c r="I8" s="181"/>
      <c r="J8" s="182"/>
      <c r="K8" s="26"/>
    </row>
    <row r="9" spans="1:14" ht="18.600000000000001" thickTop="1" thickBot="1" x14ac:dyDescent="0.35">
      <c r="A9" s="116">
        <v>4</v>
      </c>
      <c r="B9" s="185" t="s">
        <v>134</v>
      </c>
      <c r="C9" s="188"/>
      <c r="D9" s="186"/>
      <c r="E9" s="185" t="s">
        <v>133</v>
      </c>
      <c r="F9" s="186"/>
      <c r="G9" s="180" t="str">
        <f t="shared" si="0"/>
        <v>Mrs. Daljeet Kaur</v>
      </c>
      <c r="H9" s="181"/>
      <c r="I9" s="181"/>
      <c r="J9" s="182"/>
      <c r="K9" s="26"/>
    </row>
    <row r="10" spans="1:14" ht="18.600000000000001" thickTop="1" thickBot="1" x14ac:dyDescent="0.35">
      <c r="A10" s="116">
        <v>5</v>
      </c>
      <c r="B10" s="185" t="s">
        <v>132</v>
      </c>
      <c r="C10" s="188"/>
      <c r="D10" s="186"/>
      <c r="E10" s="185" t="s">
        <v>130</v>
      </c>
      <c r="F10" s="186"/>
      <c r="G10" s="180" t="str">
        <f t="shared" si="0"/>
        <v>Mr. Virit Shukla</v>
      </c>
      <c r="H10" s="181"/>
      <c r="I10" s="181"/>
      <c r="J10" s="182"/>
      <c r="K10" s="26"/>
    </row>
    <row r="11" spans="1:14" ht="18.600000000000001" thickTop="1" thickBot="1" x14ac:dyDescent="0.35">
      <c r="A11" s="116">
        <v>6</v>
      </c>
      <c r="B11" s="189" t="s">
        <v>131</v>
      </c>
      <c r="C11" s="190"/>
      <c r="D11" s="191"/>
      <c r="E11" s="185" t="s">
        <v>130</v>
      </c>
      <c r="F11" s="186"/>
      <c r="G11" s="180" t="str">
        <f t="shared" si="0"/>
        <v>Mr. Priyank Agarwal</v>
      </c>
      <c r="H11" s="181"/>
      <c r="I11" s="181"/>
      <c r="J11" s="182"/>
    </row>
    <row r="12" spans="1:14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L9"/>
  <sheetViews>
    <sheetView showGridLines="0" workbookViewId="0">
      <selection activeCell="J6" sqref="J6"/>
    </sheetView>
  </sheetViews>
  <sheetFormatPr defaultRowHeight="14.4" x14ac:dyDescent="0.3"/>
  <sheetData>
    <row r="1" spans="1:12" ht="18" x14ac:dyDescent="0.3">
      <c r="A1" s="196" t="s">
        <v>148</v>
      </c>
      <c r="B1" s="197"/>
      <c r="C1" s="197"/>
      <c r="D1" s="197"/>
      <c r="E1" s="197"/>
      <c r="F1" s="197"/>
      <c r="G1" s="197"/>
      <c r="H1" s="197"/>
    </row>
    <row r="2" spans="1:12" ht="15" thickBot="1" x14ac:dyDescent="0.35"/>
    <row r="3" spans="1:12" ht="19.2" thickTop="1" thickBot="1" x14ac:dyDescent="0.35">
      <c r="A3" s="192" t="s">
        <v>97</v>
      </c>
      <c r="B3" s="193"/>
      <c r="C3" s="193"/>
      <c r="D3" s="193"/>
      <c r="E3" s="193"/>
      <c r="F3" s="193"/>
      <c r="G3" s="193"/>
      <c r="H3" s="193"/>
      <c r="I3" s="26"/>
    </row>
    <row r="4" spans="1:12" ht="19.2" thickTop="1" thickBot="1" x14ac:dyDescent="0.35">
      <c r="A4" s="123" t="s">
        <v>141</v>
      </c>
      <c r="B4" s="198" t="s">
        <v>147</v>
      </c>
      <c r="C4" s="199"/>
      <c r="D4" s="199"/>
      <c r="E4" s="199"/>
      <c r="F4" s="200"/>
      <c r="G4" s="194" t="s">
        <v>146</v>
      </c>
      <c r="H4" s="195"/>
      <c r="I4" s="26"/>
    </row>
    <row r="5" spans="1:12" ht="18.600000000000001" thickTop="1" thickBot="1" x14ac:dyDescent="0.4">
      <c r="A5" s="124">
        <v>1</v>
      </c>
      <c r="B5" s="201" t="s">
        <v>145</v>
      </c>
      <c r="C5" s="202"/>
      <c r="D5" s="202"/>
      <c r="E5" s="202"/>
      <c r="F5" s="203"/>
      <c r="G5" s="155" t="str">
        <f>RIGHT(B5,LEN(B5)-(SEARCH("checkno.",B5)+7))</f>
        <v>12345</v>
      </c>
      <c r="H5" s="157"/>
      <c r="I5" s="26"/>
      <c r="J5">
        <f>LEN(B5)</f>
        <v>21</v>
      </c>
      <c r="K5">
        <f>SEARCH("checkno.",B5)</f>
        <v>9</v>
      </c>
      <c r="L5">
        <f>K5+7</f>
        <v>16</v>
      </c>
    </row>
    <row r="6" spans="1:12" ht="18.600000000000001" thickTop="1" thickBot="1" x14ac:dyDescent="0.4">
      <c r="A6" s="122">
        <v>2</v>
      </c>
      <c r="B6" s="166" t="s">
        <v>144</v>
      </c>
      <c r="C6" s="167"/>
      <c r="D6" s="167"/>
      <c r="E6" s="167"/>
      <c r="F6" s="168"/>
      <c r="G6" s="155" t="str">
        <f t="shared" ref="G6:G8" si="0">RIGHT(B6,LEN(B6)-(SEARCH("checkno.",B6)+7))</f>
        <v>123456</v>
      </c>
      <c r="H6" s="157"/>
      <c r="I6" s="26"/>
    </row>
    <row r="7" spans="1:12" ht="18.600000000000001" thickTop="1" thickBot="1" x14ac:dyDescent="0.4">
      <c r="A7" s="122">
        <v>3</v>
      </c>
      <c r="B7" s="166" t="s">
        <v>143</v>
      </c>
      <c r="C7" s="167"/>
      <c r="D7" s="167"/>
      <c r="E7" s="167"/>
      <c r="F7" s="168"/>
      <c r="G7" s="155" t="str">
        <f t="shared" si="0"/>
        <v>000789</v>
      </c>
      <c r="H7" s="157"/>
      <c r="I7" s="26"/>
    </row>
    <row r="8" spans="1:12" ht="18.600000000000001" thickTop="1" thickBot="1" x14ac:dyDescent="0.4">
      <c r="A8" s="122">
        <v>4</v>
      </c>
      <c r="B8" s="169" t="s">
        <v>142</v>
      </c>
      <c r="C8" s="170"/>
      <c r="D8" s="170"/>
      <c r="E8" s="170"/>
      <c r="F8" s="171"/>
      <c r="G8" s="155" t="str">
        <f t="shared" si="0"/>
        <v>123456</v>
      </c>
      <c r="H8" s="157"/>
      <c r="I8" s="26"/>
    </row>
    <row r="9" spans="1:12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opLeftCell="A25" workbookViewId="0">
      <selection activeCell="E38" sqref="E38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4"/>
      <c r="M1" s="5"/>
      <c r="N1" s="5"/>
      <c r="O1" s="5"/>
      <c r="P1" s="5"/>
      <c r="Q1" s="5"/>
      <c r="R1" s="5"/>
    </row>
    <row r="2" spans="1:18" ht="19.2" thickTop="1" thickBot="1" x14ac:dyDescent="0.4">
      <c r="A2" s="91"/>
      <c r="B2" s="86"/>
      <c r="C2" s="98"/>
      <c r="D2" s="91"/>
      <c r="E2" s="91"/>
      <c r="F2" s="86"/>
      <c r="G2" s="91"/>
      <c r="H2" s="86"/>
      <c r="I2" s="91"/>
      <c r="J2" s="91"/>
      <c r="K2" s="86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213" t="s">
        <v>83</v>
      </c>
      <c r="B3" s="214"/>
      <c r="C3" s="214"/>
      <c r="D3" s="214"/>
      <c r="E3" s="215"/>
      <c r="F3" s="106"/>
      <c r="G3" s="207" t="s">
        <v>84</v>
      </c>
      <c r="H3" s="208"/>
      <c r="I3" s="208"/>
      <c r="J3" s="208"/>
      <c r="K3" s="209"/>
      <c r="L3" s="94"/>
      <c r="M3" s="5"/>
      <c r="N3" s="5"/>
      <c r="O3" s="5"/>
      <c r="P3" s="5"/>
      <c r="Q3" s="5"/>
      <c r="R3" s="5"/>
    </row>
    <row r="4" spans="1:18" ht="19.2" thickTop="1" thickBot="1" x14ac:dyDescent="0.4">
      <c r="A4" s="216"/>
      <c r="B4" s="217"/>
      <c r="C4" s="217"/>
      <c r="D4" s="217"/>
      <c r="E4" s="218"/>
      <c r="F4" s="86"/>
      <c r="G4" s="219" t="s">
        <v>46</v>
      </c>
      <c r="H4" s="220"/>
      <c r="I4" s="221"/>
      <c r="J4" s="219" t="s">
        <v>50</v>
      </c>
      <c r="K4" s="221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86"/>
      <c r="G5" s="222" t="s">
        <v>85</v>
      </c>
      <c r="H5" s="223"/>
      <c r="I5" s="224"/>
      <c r="J5" s="222" t="s">
        <v>86</v>
      </c>
      <c r="K5" s="224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96" t="s">
        <v>94</v>
      </c>
      <c r="B6" s="107"/>
      <c r="C6" s="95"/>
      <c r="D6" s="95"/>
      <c r="E6" s="108"/>
      <c r="F6" s="86"/>
      <c r="G6" s="210" t="s">
        <v>87</v>
      </c>
      <c r="H6" s="211"/>
      <c r="I6" s="212"/>
      <c r="J6" s="210" t="s">
        <v>88</v>
      </c>
      <c r="K6" s="212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05" t="s">
        <v>95</v>
      </c>
      <c r="B7" s="107"/>
      <c r="C7" s="107"/>
      <c r="D7" s="107"/>
      <c r="E7" s="108"/>
      <c r="F7" s="86"/>
      <c r="G7" s="210" t="s">
        <v>89</v>
      </c>
      <c r="H7" s="211"/>
      <c r="I7" s="212"/>
      <c r="J7" s="210" t="s">
        <v>90</v>
      </c>
      <c r="K7" s="212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86"/>
      <c r="G8" s="210" t="s">
        <v>91</v>
      </c>
      <c r="H8" s="211"/>
      <c r="I8" s="212"/>
      <c r="J8" s="210" t="s">
        <v>1</v>
      </c>
      <c r="K8" s="212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86"/>
      <c r="G9" s="204" t="s">
        <v>92</v>
      </c>
      <c r="H9" s="205"/>
      <c r="I9" s="206"/>
      <c r="J9" s="204" t="s">
        <v>93</v>
      </c>
      <c r="K9" s="206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86"/>
      <c r="B10" s="86"/>
      <c r="C10" s="86"/>
      <c r="D10" s="86"/>
      <c r="E10" s="86"/>
      <c r="F10" s="86"/>
      <c r="G10" s="86"/>
      <c r="H10" s="86"/>
      <c r="I10" s="109"/>
      <c r="J10" s="86"/>
      <c r="K10" s="86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97" t="s">
        <v>72</v>
      </c>
      <c r="B11" s="97" t="s">
        <v>73</v>
      </c>
      <c r="C11" s="97" t="s">
        <v>74</v>
      </c>
      <c r="D11" s="97" t="s">
        <v>75</v>
      </c>
      <c r="E11" s="97" t="s">
        <v>76</v>
      </c>
      <c r="F11" s="97" t="s">
        <v>77</v>
      </c>
      <c r="G11" s="97" t="s">
        <v>78</v>
      </c>
      <c r="H11" s="97" t="s">
        <v>79</v>
      </c>
      <c r="I11" s="97" t="s">
        <v>80</v>
      </c>
      <c r="J11" s="97" t="s">
        <v>81</v>
      </c>
      <c r="K11" s="97" t="s">
        <v>82</v>
      </c>
      <c r="L11" s="93"/>
      <c r="M11" s="93"/>
      <c r="N11" s="93"/>
      <c r="O11" s="93"/>
      <c r="P11" s="93"/>
      <c r="Q11" s="93"/>
      <c r="R11" s="93"/>
    </row>
    <row r="12" spans="1:18" ht="15.45" customHeight="1" thickTop="1" thickBot="1" x14ac:dyDescent="0.35">
      <c r="A12" s="99">
        <v>815864</v>
      </c>
      <c r="B12" s="99" t="s">
        <v>47</v>
      </c>
      <c r="C12" s="99">
        <v>57</v>
      </c>
      <c r="D12" s="99">
        <v>25</v>
      </c>
      <c r="E12" s="99">
        <v>41</v>
      </c>
      <c r="F12" s="99">
        <v>62</v>
      </c>
      <c r="G12" s="99">
        <v>93</v>
      </c>
      <c r="H12" s="104">
        <f>SUM(C12:G12)</f>
        <v>278</v>
      </c>
      <c r="I12" s="139">
        <f>H12/500</f>
        <v>0.55600000000000005</v>
      </c>
      <c r="J12" s="104" t="str" cm="1">
        <f t="array" ref="J12">_xlfn.SWITCH(TRUE,I12&gt;80%,"A+",I12&gt;=60%,"A",I12&gt;=45%,"B",I12&gt;=33%,"B+","C")</f>
        <v>B</v>
      </c>
      <c r="K12" s="104" t="str">
        <f>IF(I12&gt;33,"PASS","FAIL")</f>
        <v>FAIL</v>
      </c>
      <c r="L12" s="5"/>
      <c r="R12" s="5"/>
    </row>
    <row r="13" spans="1:18" ht="16.8" thickTop="1" thickBot="1" x14ac:dyDescent="0.35">
      <c r="A13" s="100">
        <v>815865</v>
      </c>
      <c r="B13" s="100" t="s">
        <v>48</v>
      </c>
      <c r="C13" s="100">
        <v>52</v>
      </c>
      <c r="D13" s="100">
        <v>64</v>
      </c>
      <c r="E13" s="100">
        <v>40</v>
      </c>
      <c r="F13" s="100">
        <v>62</v>
      </c>
      <c r="G13" s="100">
        <v>48</v>
      </c>
      <c r="H13" s="104">
        <f t="shared" ref="H13:H34" si="0">SUM(C13:G13)</f>
        <v>266</v>
      </c>
      <c r="I13" s="139">
        <f t="shared" ref="I13:I34" si="1">H13/500</f>
        <v>0.53200000000000003</v>
      </c>
      <c r="J13" s="104" t="str" cm="1">
        <f t="array" ref="J13">_xlfn.SWITCH(TRUE,I13&gt;80%,"A+",I13&gt;=60%,"A",I13&gt;=45%,"B",I13&gt;=33%,"B+","C")</f>
        <v>B</v>
      </c>
      <c r="K13" s="104" t="str">
        <f t="shared" ref="K13:K34" si="2">IF(I13&gt;33,"PASS","FAIL")</f>
        <v>FAIL</v>
      </c>
      <c r="L13" s="5"/>
      <c r="R13" s="5"/>
    </row>
    <row r="14" spans="1:18" ht="16.8" thickTop="1" thickBot="1" x14ac:dyDescent="0.35">
      <c r="A14" s="100">
        <v>815866</v>
      </c>
      <c r="B14" s="100" t="s">
        <v>49</v>
      </c>
      <c r="C14" s="100">
        <v>35</v>
      </c>
      <c r="D14" s="100">
        <v>60</v>
      </c>
      <c r="E14" s="100">
        <v>44</v>
      </c>
      <c r="F14" s="100">
        <v>59</v>
      </c>
      <c r="G14" s="100">
        <v>82</v>
      </c>
      <c r="H14" s="104">
        <f t="shared" si="0"/>
        <v>280</v>
      </c>
      <c r="I14" s="139">
        <f t="shared" si="1"/>
        <v>0.56000000000000005</v>
      </c>
      <c r="J14" s="104" t="str" cm="1">
        <f t="array" ref="J14">_xlfn.SWITCH(TRUE,I14&gt;80%,"A+",I14&gt;=60%,"A",I14&gt;=45%,"B",I14&gt;=33%,"B+","C")</f>
        <v>B</v>
      </c>
      <c r="K14" s="104" t="str">
        <f t="shared" si="2"/>
        <v>FAIL</v>
      </c>
      <c r="L14" s="5"/>
      <c r="R14" s="5"/>
    </row>
    <row r="15" spans="1:18" ht="16.8" thickTop="1" thickBot="1" x14ac:dyDescent="0.35">
      <c r="A15" s="100">
        <v>815867</v>
      </c>
      <c r="B15" s="100" t="s">
        <v>51</v>
      </c>
      <c r="C15" s="100">
        <v>65</v>
      </c>
      <c r="D15" s="100">
        <v>86</v>
      </c>
      <c r="E15" s="100">
        <v>24</v>
      </c>
      <c r="F15" s="100">
        <v>88</v>
      </c>
      <c r="G15" s="100">
        <v>96</v>
      </c>
      <c r="H15" s="104">
        <f t="shared" si="0"/>
        <v>359</v>
      </c>
      <c r="I15" s="139">
        <f t="shared" si="1"/>
        <v>0.71799999999999997</v>
      </c>
      <c r="J15" s="104" t="str" cm="1">
        <f t="array" ref="J15">_xlfn.SWITCH(TRUE,I15&gt;80%,"A+",I15&gt;=60%,"A",I15&gt;=45%,"B",I15&gt;=33%,"B+","C")</f>
        <v>A</v>
      </c>
      <c r="K15" s="104" t="str">
        <f t="shared" si="2"/>
        <v>FAIL</v>
      </c>
    </row>
    <row r="16" spans="1:18" ht="16.8" thickTop="1" thickBot="1" x14ac:dyDescent="0.35">
      <c r="A16" s="100">
        <v>815868</v>
      </c>
      <c r="B16" s="100" t="s">
        <v>52</v>
      </c>
      <c r="C16" s="100">
        <v>42</v>
      </c>
      <c r="D16" s="100">
        <v>74</v>
      </c>
      <c r="E16" s="100">
        <v>83</v>
      </c>
      <c r="F16" s="100">
        <v>96</v>
      </c>
      <c r="G16" s="100">
        <v>72</v>
      </c>
      <c r="H16" s="104">
        <f t="shared" si="0"/>
        <v>367</v>
      </c>
      <c r="I16" s="139">
        <f t="shared" si="1"/>
        <v>0.73399999999999999</v>
      </c>
      <c r="J16" s="104" t="str" cm="1">
        <f t="array" ref="J16">_xlfn.SWITCH(TRUE,I16&gt;80%,"A+",I16&gt;=60%,"A",I16&gt;=45%,"B",I16&gt;=33%,"B+","C")</f>
        <v>A</v>
      </c>
      <c r="K16" s="104" t="str">
        <f t="shared" si="2"/>
        <v>FAIL</v>
      </c>
    </row>
    <row r="17" spans="1:18" ht="16.8" thickTop="1" thickBot="1" x14ac:dyDescent="0.35">
      <c r="A17" s="100">
        <v>815869</v>
      </c>
      <c r="B17" s="100" t="s">
        <v>53</v>
      </c>
      <c r="C17" s="100">
        <v>21</v>
      </c>
      <c r="D17" s="100">
        <v>85</v>
      </c>
      <c r="E17" s="100">
        <v>73</v>
      </c>
      <c r="F17" s="100">
        <v>30</v>
      </c>
      <c r="G17" s="100">
        <v>36</v>
      </c>
      <c r="H17" s="104">
        <f t="shared" si="0"/>
        <v>245</v>
      </c>
      <c r="I17" s="139">
        <f t="shared" si="1"/>
        <v>0.49</v>
      </c>
      <c r="J17" s="104" t="str" cm="1">
        <f t="array" ref="J17">_xlfn.SWITCH(TRUE,I17&gt;80%,"A+",I17&gt;=60%,"A",I17&gt;=45%,"B",I17&gt;=33%,"B+","C")</f>
        <v>B</v>
      </c>
      <c r="K17" s="104" t="str">
        <f t="shared" si="2"/>
        <v>FAIL</v>
      </c>
    </row>
    <row r="18" spans="1:18" ht="16.8" thickTop="1" thickBot="1" x14ac:dyDescent="0.35">
      <c r="A18" s="100">
        <v>815870</v>
      </c>
      <c r="B18" s="100" t="s">
        <v>54</v>
      </c>
      <c r="C18" s="100">
        <v>76</v>
      </c>
      <c r="D18" s="100">
        <v>37</v>
      </c>
      <c r="E18" s="100">
        <v>33</v>
      </c>
      <c r="F18" s="100">
        <v>67</v>
      </c>
      <c r="G18" s="100">
        <v>62</v>
      </c>
      <c r="H18" s="104">
        <f t="shared" si="0"/>
        <v>275</v>
      </c>
      <c r="I18" s="139">
        <f t="shared" si="1"/>
        <v>0.55000000000000004</v>
      </c>
      <c r="J18" s="104" t="str" cm="1">
        <f t="array" ref="J18">_xlfn.SWITCH(TRUE,I18&gt;80%,"A+",I18&gt;=60%,"A",I18&gt;=45%,"B",I18&gt;=33%,"B+","C")</f>
        <v>B</v>
      </c>
      <c r="K18" s="104" t="str">
        <f t="shared" si="2"/>
        <v>FAIL</v>
      </c>
    </row>
    <row r="19" spans="1:18" ht="16.8" thickTop="1" thickBot="1" x14ac:dyDescent="0.35">
      <c r="A19" s="100">
        <v>815871</v>
      </c>
      <c r="B19" s="100" t="s">
        <v>55</v>
      </c>
      <c r="C19" s="100">
        <v>71</v>
      </c>
      <c r="D19" s="100">
        <v>85</v>
      </c>
      <c r="E19" s="100">
        <v>89</v>
      </c>
      <c r="F19" s="100">
        <v>88</v>
      </c>
      <c r="G19" s="100">
        <v>88</v>
      </c>
      <c r="H19" s="104">
        <f t="shared" si="0"/>
        <v>421</v>
      </c>
      <c r="I19" s="139">
        <f t="shared" si="1"/>
        <v>0.84199999999999997</v>
      </c>
      <c r="J19" s="104" t="str" cm="1">
        <f t="array" ref="J19">_xlfn.SWITCH(TRUE,I19&gt;80%,"A+",I19&gt;=60%,"A",I19&gt;=45%,"B",I19&gt;=33%,"B+","C")</f>
        <v>A+</v>
      </c>
      <c r="K19" s="104" t="str">
        <f t="shared" si="2"/>
        <v>FAIL</v>
      </c>
    </row>
    <row r="20" spans="1:18" ht="16.8" thickTop="1" thickBot="1" x14ac:dyDescent="0.35">
      <c r="A20" s="101">
        <v>815872</v>
      </c>
      <c r="B20" s="100" t="s">
        <v>56</v>
      </c>
      <c r="C20" s="101">
        <v>88</v>
      </c>
      <c r="D20" s="102">
        <v>86</v>
      </c>
      <c r="E20" s="102">
        <v>91</v>
      </c>
      <c r="F20" s="102">
        <v>99</v>
      </c>
      <c r="G20" s="102">
        <v>90</v>
      </c>
      <c r="H20" s="104">
        <f t="shared" si="0"/>
        <v>454</v>
      </c>
      <c r="I20" s="139">
        <f t="shared" si="1"/>
        <v>0.90800000000000003</v>
      </c>
      <c r="J20" s="104" t="str" cm="1">
        <f t="array" ref="J20">_xlfn.SWITCH(TRUE,I20&gt;80%,"A+",I20&gt;=60%,"A",I20&gt;=45%,"B",I20&gt;=33%,"B+","C")</f>
        <v>A+</v>
      </c>
      <c r="K20" s="104" t="str">
        <f t="shared" si="2"/>
        <v>FAIL</v>
      </c>
    </row>
    <row r="21" spans="1:18" ht="16.8" thickTop="1" thickBot="1" x14ac:dyDescent="0.35">
      <c r="A21" s="100">
        <v>815873</v>
      </c>
      <c r="B21" s="100" t="s">
        <v>57</v>
      </c>
      <c r="C21" s="100">
        <v>29</v>
      </c>
      <c r="D21" s="100">
        <v>34</v>
      </c>
      <c r="E21" s="100">
        <v>89</v>
      </c>
      <c r="F21" s="100">
        <v>60</v>
      </c>
      <c r="G21" s="100">
        <v>70</v>
      </c>
      <c r="H21" s="104">
        <f t="shared" si="0"/>
        <v>282</v>
      </c>
      <c r="I21" s="139">
        <f t="shared" si="1"/>
        <v>0.56399999999999995</v>
      </c>
      <c r="J21" s="104" t="str" cm="1">
        <f t="array" ref="J21">_xlfn.SWITCH(TRUE,I21&gt;80%,"A+",I21&gt;=60%,"A",I21&gt;=45%,"B",I21&gt;=33%,"B+","C")</f>
        <v>B</v>
      </c>
      <c r="K21" s="104" t="str">
        <f t="shared" si="2"/>
        <v>FAIL</v>
      </c>
    </row>
    <row r="22" spans="1:18" ht="16.8" thickTop="1" thickBot="1" x14ac:dyDescent="0.35">
      <c r="A22" s="100">
        <v>815874</v>
      </c>
      <c r="B22" s="100" t="s">
        <v>58</v>
      </c>
      <c r="C22" s="100">
        <v>26</v>
      </c>
      <c r="D22" s="100">
        <v>82</v>
      </c>
      <c r="E22" s="100">
        <v>73</v>
      </c>
      <c r="F22" s="100">
        <v>46</v>
      </c>
      <c r="G22" s="100">
        <v>62</v>
      </c>
      <c r="H22" s="104">
        <f t="shared" si="0"/>
        <v>289</v>
      </c>
      <c r="I22" s="139">
        <f t="shared" si="1"/>
        <v>0.57799999999999996</v>
      </c>
      <c r="J22" s="104" t="str" cm="1">
        <f t="array" ref="J22">_xlfn.SWITCH(TRUE,I22&gt;80%,"A+",I22&gt;=60%,"A",I22&gt;=45%,"B",I22&gt;=33%,"B+","C")</f>
        <v>B</v>
      </c>
      <c r="K22" s="104" t="str">
        <f t="shared" si="2"/>
        <v>FAIL</v>
      </c>
    </row>
    <row r="23" spans="1:18" ht="16.8" thickTop="1" thickBot="1" x14ac:dyDescent="0.35">
      <c r="A23" s="100">
        <v>815875</v>
      </c>
      <c r="B23" s="100" t="s">
        <v>59</v>
      </c>
      <c r="C23" s="100">
        <v>53</v>
      </c>
      <c r="D23" s="100">
        <v>27</v>
      </c>
      <c r="E23" s="100">
        <v>30</v>
      </c>
      <c r="F23" s="100">
        <v>86</v>
      </c>
      <c r="G23" s="100">
        <v>38</v>
      </c>
      <c r="H23" s="104">
        <f t="shared" si="0"/>
        <v>234</v>
      </c>
      <c r="I23" s="139">
        <f t="shared" si="1"/>
        <v>0.46800000000000003</v>
      </c>
      <c r="J23" s="104" t="str" cm="1">
        <f t="array" ref="J23">_xlfn.SWITCH(TRUE,I23&gt;80%,"A+",I23&gt;=60%,"A",I23&gt;=45%,"B",I23&gt;=33%,"B+","C")</f>
        <v>B</v>
      </c>
      <c r="K23" s="104" t="str">
        <f t="shared" si="2"/>
        <v>FAIL</v>
      </c>
    </row>
    <row r="24" spans="1:18" ht="16.8" thickTop="1" thickBot="1" x14ac:dyDescent="0.35">
      <c r="A24" s="100">
        <v>815876</v>
      </c>
      <c r="B24" s="100" t="s">
        <v>60</v>
      </c>
      <c r="C24" s="100">
        <v>66</v>
      </c>
      <c r="D24" s="100">
        <v>22</v>
      </c>
      <c r="E24" s="100">
        <v>50</v>
      </c>
      <c r="F24" s="100">
        <v>73</v>
      </c>
      <c r="G24" s="100">
        <v>23</v>
      </c>
      <c r="H24" s="104">
        <f t="shared" si="0"/>
        <v>234</v>
      </c>
      <c r="I24" s="139">
        <f t="shared" si="1"/>
        <v>0.46800000000000003</v>
      </c>
      <c r="J24" s="104" t="str" cm="1">
        <f t="array" ref="J24">_xlfn.SWITCH(TRUE,I24&gt;80%,"A+",I24&gt;=60%,"A",I24&gt;=45%,"B",I24&gt;=33%,"B+","C")</f>
        <v>B</v>
      </c>
      <c r="K24" s="104" t="str">
        <f t="shared" si="2"/>
        <v>FAIL</v>
      </c>
    </row>
    <row r="25" spans="1:18" ht="16.8" thickTop="1" thickBot="1" x14ac:dyDescent="0.35">
      <c r="A25" s="100">
        <v>815877</v>
      </c>
      <c r="B25" s="100" t="s">
        <v>61</v>
      </c>
      <c r="C25" s="100">
        <v>33</v>
      </c>
      <c r="D25" s="100">
        <v>63</v>
      </c>
      <c r="E25" s="100">
        <v>95</v>
      </c>
      <c r="F25" s="100">
        <v>74</v>
      </c>
      <c r="G25" s="100">
        <v>70</v>
      </c>
      <c r="H25" s="104">
        <f t="shared" si="0"/>
        <v>335</v>
      </c>
      <c r="I25" s="139">
        <f t="shared" si="1"/>
        <v>0.67</v>
      </c>
      <c r="J25" s="104" t="str" cm="1">
        <f t="array" ref="J25">_xlfn.SWITCH(TRUE,I25&gt;80%,"A+",I25&gt;=60%,"A",I25&gt;=45%,"B",I25&gt;=33%,"B+","C")</f>
        <v>A</v>
      </c>
      <c r="K25" s="104" t="str">
        <f t="shared" si="2"/>
        <v>FAIL</v>
      </c>
    </row>
    <row r="26" spans="1:18" ht="16.8" thickTop="1" thickBot="1" x14ac:dyDescent="0.35">
      <c r="A26" s="100">
        <v>815878</v>
      </c>
      <c r="B26" s="100" t="s">
        <v>62</v>
      </c>
      <c r="C26" s="100">
        <v>24</v>
      </c>
      <c r="D26" s="100">
        <v>51</v>
      </c>
      <c r="E26" s="100">
        <v>70</v>
      </c>
      <c r="F26" s="100">
        <v>47</v>
      </c>
      <c r="G26" s="100">
        <v>28</v>
      </c>
      <c r="H26" s="104">
        <f t="shared" si="0"/>
        <v>220</v>
      </c>
      <c r="I26" s="139">
        <f t="shared" si="1"/>
        <v>0.44</v>
      </c>
      <c r="J26" s="104" t="str" cm="1">
        <f t="array" ref="J26">_xlfn.SWITCH(TRUE,I26&gt;80%,"A+",I26&gt;=60%,"A",I26&gt;=45%,"B",I26&gt;=33%,"B+","C")</f>
        <v>B+</v>
      </c>
      <c r="K26" s="104" t="str">
        <f t="shared" si="2"/>
        <v>FAIL</v>
      </c>
    </row>
    <row r="27" spans="1:18" ht="16.8" thickTop="1" thickBot="1" x14ac:dyDescent="0.35">
      <c r="A27" s="100">
        <v>815879</v>
      </c>
      <c r="B27" s="100" t="s">
        <v>63</v>
      </c>
      <c r="C27" s="100">
        <v>62</v>
      </c>
      <c r="D27" s="100">
        <v>88</v>
      </c>
      <c r="E27" s="100">
        <v>84</v>
      </c>
      <c r="F27" s="100">
        <v>68</v>
      </c>
      <c r="G27" s="100">
        <v>65</v>
      </c>
      <c r="H27" s="104">
        <f t="shared" si="0"/>
        <v>367</v>
      </c>
      <c r="I27" s="139">
        <f t="shared" si="1"/>
        <v>0.73399999999999999</v>
      </c>
      <c r="J27" s="104" t="str" cm="1">
        <f t="array" ref="J27">_xlfn.SWITCH(TRUE,I27&gt;80%,"A+",I27&gt;=60%,"A",I27&gt;=45%,"B",I27&gt;=33%,"B+","C")</f>
        <v>A</v>
      </c>
      <c r="K27" s="104" t="str">
        <f t="shared" si="2"/>
        <v>FAIL</v>
      </c>
    </row>
    <row r="28" spans="1:18" ht="16.8" thickTop="1" thickBot="1" x14ac:dyDescent="0.35">
      <c r="A28" s="100">
        <v>815880</v>
      </c>
      <c r="B28" s="100" t="s">
        <v>64</v>
      </c>
      <c r="C28" s="100">
        <v>21</v>
      </c>
      <c r="D28" s="100">
        <v>41</v>
      </c>
      <c r="E28" s="100">
        <v>41</v>
      </c>
      <c r="F28" s="100">
        <v>62</v>
      </c>
      <c r="G28" s="100">
        <v>47</v>
      </c>
      <c r="H28" s="104">
        <f t="shared" si="0"/>
        <v>212</v>
      </c>
      <c r="I28" s="139">
        <f t="shared" si="1"/>
        <v>0.42399999999999999</v>
      </c>
      <c r="J28" s="104" t="str" cm="1">
        <f t="array" ref="J28">_xlfn.SWITCH(TRUE,I28&gt;80%,"A+",I28&gt;=60%,"A",I28&gt;=45%,"B",I28&gt;=33%,"B+","C")</f>
        <v>B+</v>
      </c>
      <c r="K28" s="104" t="str">
        <f t="shared" si="2"/>
        <v>FAIL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100">
        <v>815881</v>
      </c>
      <c r="B29" s="100" t="s">
        <v>65</v>
      </c>
      <c r="C29" s="100">
        <v>92</v>
      </c>
      <c r="D29" s="100">
        <v>53</v>
      </c>
      <c r="E29" s="100">
        <v>91</v>
      </c>
      <c r="F29" s="100">
        <v>32</v>
      </c>
      <c r="G29" s="100">
        <v>52</v>
      </c>
      <c r="H29" s="104">
        <f t="shared" si="0"/>
        <v>320</v>
      </c>
      <c r="I29" s="139">
        <f t="shared" si="1"/>
        <v>0.64</v>
      </c>
      <c r="J29" s="104" t="str" cm="1">
        <f t="array" ref="J29">_xlfn.SWITCH(TRUE,I29&gt;80%,"A+",I29&gt;=60%,"A",I29&gt;=45%,"B",I29&gt;=33%,"B+","C")</f>
        <v>A</v>
      </c>
      <c r="K29" s="104" t="str">
        <f t="shared" si="2"/>
        <v>FAIL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100">
        <v>815882</v>
      </c>
      <c r="B30" s="100" t="s">
        <v>66</v>
      </c>
      <c r="C30" s="100">
        <v>71</v>
      </c>
      <c r="D30" s="100">
        <v>88</v>
      </c>
      <c r="E30" s="100">
        <v>25</v>
      </c>
      <c r="F30" s="100">
        <v>89</v>
      </c>
      <c r="G30" s="100">
        <v>72</v>
      </c>
      <c r="H30" s="104">
        <f t="shared" si="0"/>
        <v>345</v>
      </c>
      <c r="I30" s="139">
        <f t="shared" si="1"/>
        <v>0.69</v>
      </c>
      <c r="J30" s="104" t="str" cm="1">
        <f t="array" ref="J30">_xlfn.SWITCH(TRUE,I30&gt;80%,"A+",I30&gt;=60%,"A",I30&gt;=45%,"B",I30&gt;=33%,"B+","C")</f>
        <v>A</v>
      </c>
      <c r="K30" s="104" t="str">
        <f t="shared" si="2"/>
        <v>FAIL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100">
        <v>815883</v>
      </c>
      <c r="B31" s="100" t="s">
        <v>67</v>
      </c>
      <c r="C31" s="100">
        <v>66</v>
      </c>
      <c r="D31" s="100">
        <v>68</v>
      </c>
      <c r="E31" s="100">
        <v>96</v>
      </c>
      <c r="F31" s="100">
        <v>44</v>
      </c>
      <c r="G31" s="100">
        <v>72</v>
      </c>
      <c r="H31" s="104">
        <f t="shared" si="0"/>
        <v>346</v>
      </c>
      <c r="I31" s="139">
        <f t="shared" si="1"/>
        <v>0.69199999999999995</v>
      </c>
      <c r="J31" s="104" t="str" cm="1">
        <f t="array" ref="J31">_xlfn.SWITCH(TRUE,I31&gt;80%,"A+",I31&gt;=60%,"A",I31&gt;=45%,"B",I31&gt;=33%,"B+","C")</f>
        <v>A</v>
      </c>
      <c r="K31" s="104" t="str">
        <f t="shared" si="2"/>
        <v>FAIL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100">
        <v>815884</v>
      </c>
      <c r="B32" s="100" t="s">
        <v>68</v>
      </c>
      <c r="C32" s="100">
        <v>33</v>
      </c>
      <c r="D32" s="100">
        <v>29</v>
      </c>
      <c r="E32" s="100">
        <v>27</v>
      </c>
      <c r="F32" s="100">
        <v>44</v>
      </c>
      <c r="G32" s="100">
        <v>21</v>
      </c>
      <c r="H32" s="104">
        <f t="shared" si="0"/>
        <v>154</v>
      </c>
      <c r="I32" s="139">
        <f t="shared" si="1"/>
        <v>0.308</v>
      </c>
      <c r="J32" s="104" t="str" cm="1">
        <f t="array" ref="J32">_xlfn.SWITCH(TRUE,I32&gt;80%,"A+",I32&gt;=60%,"A",I32&gt;=45%,"B",I32&gt;=33%,"B+","C")</f>
        <v>C</v>
      </c>
      <c r="K32" s="104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100">
        <v>815885</v>
      </c>
      <c r="B33" s="100" t="s">
        <v>69</v>
      </c>
      <c r="C33" s="100">
        <v>22</v>
      </c>
      <c r="D33" s="100">
        <v>28</v>
      </c>
      <c r="E33" s="100">
        <v>33</v>
      </c>
      <c r="F33" s="100">
        <v>26</v>
      </c>
      <c r="G33" s="100">
        <v>42</v>
      </c>
      <c r="H33" s="227">
        <f t="shared" si="0"/>
        <v>151</v>
      </c>
      <c r="I33" s="228">
        <f t="shared" si="1"/>
        <v>0.30199999999999999</v>
      </c>
      <c r="J33" s="227" t="str" cm="1">
        <f t="array" ref="J33">_xlfn.SWITCH(TRUE,I33&gt;80%,"A+",I33&gt;=60%,"A",I33&gt;=45%,"B",I33&gt;=33%,"B+","C")</f>
        <v>C</v>
      </c>
      <c r="K33" s="104" t="str">
        <f t="shared" si="2"/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103">
        <v>815886</v>
      </c>
      <c r="B34" s="103" t="s">
        <v>70</v>
      </c>
      <c r="C34" s="103">
        <v>48</v>
      </c>
      <c r="D34" s="103">
        <v>82</v>
      </c>
      <c r="E34" s="103">
        <v>95</v>
      </c>
      <c r="F34" s="103">
        <v>53</v>
      </c>
      <c r="G34" s="225">
        <v>47</v>
      </c>
      <c r="H34" s="229">
        <f t="shared" si="0"/>
        <v>325</v>
      </c>
      <c r="I34" s="230">
        <f t="shared" si="1"/>
        <v>0.65</v>
      </c>
      <c r="J34" s="231" t="str" cm="1">
        <f t="array" ref="J34">_xlfn.SWITCH(TRUE,I34&gt;80%,"A+",I34&gt;=60%,"A",I34&gt;=45%,"B",I34&gt;=33%,"B+","C")</f>
        <v>A</v>
      </c>
      <c r="K34" s="226" t="str">
        <f t="shared" si="2"/>
        <v>FAIL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manthan padir</cp:lastModifiedBy>
  <dcterms:created xsi:type="dcterms:W3CDTF">2011-10-09T12:51:01Z</dcterms:created>
  <dcterms:modified xsi:type="dcterms:W3CDTF">2025-11-27T07:44:46Z</dcterms:modified>
</cp:coreProperties>
</file>