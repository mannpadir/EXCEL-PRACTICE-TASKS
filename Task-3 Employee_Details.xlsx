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1E62FB6A-A143-493B-90ED-53A37E48BF7C}" xr6:coauthVersionLast="47" xr6:coauthVersionMax="47" xr10:uidLastSave="{00000000-0000-0000-0000-000000000000}"/>
  <bookViews>
    <workbookView xWindow="-108" yWindow="-108" windowWidth="23256" windowHeight="12456" xr2:uid="{27527EDE-5641-4895-BD28-BEA5BDFB225F}"/>
  </bookViews>
  <sheets>
    <sheet name="Employee_Details" sheetId="1" r:id="rId1"/>
  </sheets>
  <definedNames>
    <definedName name="_xlnm._FilterDatabase" localSheetId="0" hidden="1">Employee_Details!$A$1:$N$1001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1" l="1"/>
  <c r="N13" i="1"/>
  <c r="N14" i="1"/>
  <c r="N15" i="1"/>
  <c r="N16" i="1"/>
  <c r="N17" i="1"/>
  <c r="N18" i="1"/>
  <c r="N22" i="1"/>
  <c r="N23" i="1"/>
  <c r="N24" i="1"/>
  <c r="N28" i="1"/>
  <c r="N29" i="1"/>
  <c r="N30" i="1"/>
  <c r="N31" i="1"/>
  <c r="N32" i="1"/>
  <c r="N33" i="1"/>
  <c r="N34" i="1"/>
  <c r="N41" i="1"/>
  <c r="N42" i="1"/>
  <c r="N43" i="1"/>
  <c r="N44" i="1"/>
  <c r="N45" i="1"/>
  <c r="N46" i="1"/>
  <c r="N49" i="1"/>
  <c r="N50" i="1"/>
  <c r="N57" i="1"/>
  <c r="N60" i="1"/>
  <c r="N61" i="1"/>
  <c r="N62" i="1"/>
  <c r="N63" i="1"/>
  <c r="N64" i="1"/>
  <c r="N76" i="1"/>
  <c r="N77" i="1"/>
  <c r="N78" i="1"/>
  <c r="N79" i="1"/>
  <c r="N80" i="1"/>
  <c r="N81" i="1"/>
  <c r="N82" i="1"/>
  <c r="N87" i="1"/>
  <c r="N88" i="1"/>
  <c r="N92" i="1"/>
  <c r="N93" i="1"/>
  <c r="N94" i="1"/>
  <c r="N95" i="1"/>
  <c r="N96" i="1"/>
  <c r="N97" i="1"/>
  <c r="N98" i="1"/>
  <c r="N105" i="1"/>
  <c r="N106" i="1"/>
  <c r="N107" i="1"/>
  <c r="N108" i="1"/>
  <c r="N109" i="1"/>
  <c r="N110" i="1"/>
  <c r="N113" i="1"/>
  <c r="N114" i="1"/>
  <c r="N121" i="1"/>
  <c r="N124" i="1"/>
  <c r="N125" i="1"/>
  <c r="N126" i="1"/>
  <c r="N127" i="1"/>
  <c r="N128" i="1"/>
  <c r="N140" i="1"/>
  <c r="N141" i="1"/>
  <c r="N142" i="1"/>
  <c r="N143" i="1"/>
  <c r="N144" i="1"/>
  <c r="N145" i="1"/>
  <c r="N146" i="1"/>
  <c r="N151" i="1"/>
  <c r="N152" i="1"/>
  <c r="N156" i="1"/>
  <c r="N157" i="1"/>
  <c r="N158" i="1"/>
  <c r="N159" i="1"/>
  <c r="N160" i="1"/>
  <c r="N161" i="1"/>
  <c r="N162" i="1"/>
  <c r="N168" i="1"/>
  <c r="N169" i="1"/>
  <c r="N170" i="1"/>
  <c r="N171" i="1"/>
  <c r="N172" i="1"/>
  <c r="N173" i="1"/>
  <c r="N174" i="1"/>
  <c r="N177" i="1"/>
  <c r="N178" i="1"/>
  <c r="N185" i="1"/>
  <c r="N188" i="1"/>
  <c r="N189" i="1"/>
  <c r="N190" i="1"/>
  <c r="N191" i="1"/>
  <c r="N192" i="1"/>
  <c r="N204" i="1"/>
  <c r="N205" i="1"/>
  <c r="N206" i="1"/>
  <c r="N207" i="1"/>
  <c r="N208" i="1"/>
  <c r="N209" i="1"/>
  <c r="N210" i="1"/>
  <c r="N215" i="1"/>
  <c r="N216" i="1"/>
  <c r="N220" i="1"/>
  <c r="N221" i="1"/>
  <c r="N222" i="1"/>
  <c r="N223" i="1"/>
  <c r="N224" i="1"/>
  <c r="N225" i="1"/>
  <c r="N226" i="1"/>
  <c r="N232" i="1"/>
  <c r="N233" i="1"/>
  <c r="N234" i="1"/>
  <c r="N235" i="1"/>
  <c r="N236" i="1"/>
  <c r="N237" i="1"/>
  <c r="N238" i="1"/>
  <c r="N241" i="1"/>
  <c r="N242" i="1"/>
  <c r="N249" i="1"/>
  <c r="N252" i="1"/>
  <c r="N253" i="1"/>
  <c r="N254" i="1"/>
  <c r="N255" i="1"/>
  <c r="N256" i="1"/>
  <c r="N268" i="1"/>
  <c r="N269" i="1"/>
  <c r="N270" i="1"/>
  <c r="N271" i="1"/>
  <c r="N272" i="1"/>
  <c r="N273" i="1"/>
  <c r="N274" i="1"/>
  <c r="N279" i="1"/>
  <c r="N280" i="1"/>
  <c r="N284" i="1"/>
  <c r="N285" i="1"/>
  <c r="N286" i="1"/>
  <c r="N287" i="1"/>
  <c r="N288" i="1"/>
  <c r="N289" i="1"/>
  <c r="N290" i="1"/>
  <c r="N296" i="1"/>
  <c r="N297" i="1"/>
  <c r="N298" i="1"/>
  <c r="N299" i="1"/>
  <c r="N300" i="1"/>
  <c r="N301" i="1"/>
  <c r="N302" i="1"/>
  <c r="N305" i="1"/>
  <c r="N306" i="1"/>
  <c r="N313" i="1"/>
  <c r="N316" i="1"/>
  <c r="N317" i="1"/>
  <c r="N318" i="1"/>
  <c r="N319" i="1"/>
  <c r="N320" i="1"/>
  <c r="N332" i="1"/>
  <c r="N333" i="1"/>
  <c r="N334" i="1"/>
  <c r="N335" i="1"/>
  <c r="N336" i="1"/>
  <c r="N337" i="1"/>
  <c r="N338" i="1"/>
  <c r="N343" i="1"/>
  <c r="N344" i="1"/>
  <c r="N348" i="1"/>
  <c r="N349" i="1"/>
  <c r="N350" i="1"/>
  <c r="N351" i="1"/>
  <c r="N352" i="1"/>
  <c r="N353" i="1"/>
  <c r="N354" i="1"/>
  <c r="N360" i="1"/>
  <c r="N361" i="1"/>
  <c r="N362" i="1"/>
  <c r="N363" i="1"/>
  <c r="N364" i="1"/>
  <c r="N365" i="1"/>
  <c r="N366" i="1"/>
  <c r="N369" i="1"/>
  <c r="N370" i="1"/>
  <c r="N377" i="1"/>
  <c r="N380" i="1"/>
  <c r="N381" i="1"/>
  <c r="N382" i="1"/>
  <c r="N383" i="1"/>
  <c r="N384" i="1"/>
  <c r="N396" i="1"/>
  <c r="N397" i="1"/>
  <c r="N398" i="1"/>
  <c r="N399" i="1"/>
  <c r="N400" i="1"/>
  <c r="N401" i="1"/>
  <c r="N402" i="1"/>
  <c r="N406" i="1"/>
  <c r="N412" i="1"/>
  <c r="N413" i="1"/>
  <c r="N414" i="1"/>
  <c r="N415" i="1"/>
  <c r="N416" i="1"/>
  <c r="N417" i="1"/>
  <c r="N418" i="1"/>
  <c r="N422" i="1"/>
  <c r="N423" i="1"/>
  <c r="N424" i="1"/>
  <c r="N425" i="1"/>
  <c r="N428" i="1"/>
  <c r="N429" i="1"/>
  <c r="N430" i="1"/>
  <c r="N431" i="1"/>
  <c r="N432" i="1"/>
  <c r="N433" i="1"/>
  <c r="N434" i="1"/>
  <c r="N438" i="1"/>
  <c r="N440" i="1"/>
  <c r="N441" i="1"/>
  <c r="N442" i="1"/>
  <c r="N443" i="1"/>
  <c r="N444" i="1"/>
  <c r="N445" i="1"/>
  <c r="N446" i="1"/>
  <c r="N449" i="1"/>
  <c r="N450" i="1"/>
  <c r="N457" i="1"/>
  <c r="N460" i="1"/>
  <c r="N461" i="1"/>
  <c r="N462" i="1"/>
  <c r="N463" i="1"/>
  <c r="N476" i="1"/>
  <c r="N477" i="1"/>
  <c r="N478" i="1"/>
  <c r="N479" i="1"/>
  <c r="N480" i="1"/>
  <c r="N481" i="1"/>
  <c r="N482" i="1"/>
  <c r="N492" i="1"/>
  <c r="N493" i="1"/>
  <c r="N494" i="1"/>
  <c r="N495" i="1"/>
  <c r="N496" i="1"/>
  <c r="N497" i="1"/>
  <c r="N498" i="1"/>
  <c r="N502" i="1"/>
  <c r="N503" i="1"/>
  <c r="N504" i="1"/>
  <c r="N508" i="1"/>
  <c r="N509" i="1"/>
  <c r="N510" i="1"/>
  <c r="N511" i="1"/>
  <c r="N512" i="1"/>
  <c r="N513" i="1"/>
  <c r="N514" i="1"/>
  <c r="N519" i="1"/>
  <c r="N520" i="1"/>
  <c r="N521" i="1"/>
  <c r="N522" i="1"/>
  <c r="N523" i="1"/>
  <c r="N524" i="1"/>
  <c r="N525" i="1"/>
  <c r="N526" i="1"/>
  <c r="N528" i="1"/>
  <c r="N529" i="1"/>
  <c r="N530" i="1"/>
  <c r="N540" i="1"/>
  <c r="N541" i="1"/>
  <c r="N542" i="1"/>
  <c r="N556" i="1"/>
  <c r="N557" i="1"/>
  <c r="N558" i="1"/>
  <c r="N559" i="1"/>
  <c r="N560" i="1"/>
  <c r="N561" i="1"/>
  <c r="N572" i="1"/>
  <c r="N573" i="1"/>
  <c r="N574" i="1"/>
  <c r="N575" i="1"/>
  <c r="N576" i="1"/>
  <c r="N577" i="1"/>
  <c r="N578" i="1"/>
  <c r="N582" i="1"/>
  <c r="N583" i="1"/>
  <c r="N588" i="1"/>
  <c r="N589" i="1"/>
  <c r="N590" i="1"/>
  <c r="N591" i="1"/>
  <c r="N592" i="1"/>
  <c r="N593" i="1"/>
  <c r="N594" i="1"/>
  <c r="N598" i="1"/>
  <c r="N599" i="1"/>
  <c r="N600" i="1"/>
  <c r="N601" i="1"/>
  <c r="N602" i="1"/>
  <c r="N604" i="1"/>
  <c r="N605" i="1"/>
  <c r="N606" i="1"/>
  <c r="N607" i="1"/>
  <c r="N608" i="1"/>
  <c r="N609" i="1"/>
  <c r="N610" i="1"/>
  <c r="N614" i="1"/>
  <c r="N615" i="1"/>
  <c r="N617" i="1"/>
  <c r="N618" i="1"/>
  <c r="N619" i="1"/>
  <c r="N620" i="1"/>
  <c r="N621" i="1"/>
  <c r="N622" i="1"/>
  <c r="N626" i="1"/>
  <c r="N633" i="1"/>
  <c r="N636" i="1"/>
  <c r="N637" i="1"/>
  <c r="N638" i="1"/>
  <c r="N639" i="1"/>
  <c r="N640" i="1"/>
  <c r="N652" i="1"/>
  <c r="N653" i="1"/>
  <c r="N654" i="1"/>
  <c r="N655" i="1"/>
  <c r="N656" i="1"/>
  <c r="N657" i="1"/>
  <c r="N658" i="1"/>
  <c r="N662" i="1"/>
  <c r="N668" i="1"/>
  <c r="N669" i="1"/>
  <c r="N670" i="1"/>
  <c r="N671" i="1"/>
  <c r="N672" i="1"/>
  <c r="N673" i="1"/>
  <c r="N674" i="1"/>
  <c r="N678" i="1"/>
  <c r="N679" i="1"/>
  <c r="N680" i="1"/>
  <c r="N681" i="1"/>
  <c r="N684" i="1"/>
  <c r="N685" i="1"/>
  <c r="N686" i="1"/>
  <c r="N687" i="1"/>
  <c r="N688" i="1"/>
  <c r="N689" i="1"/>
  <c r="N690" i="1"/>
  <c r="N694" i="1"/>
  <c r="N696" i="1"/>
  <c r="N697" i="1"/>
  <c r="N698" i="1"/>
  <c r="N699" i="1"/>
  <c r="N700" i="1"/>
  <c r="N701" i="1"/>
  <c r="N702" i="1"/>
  <c r="N705" i="1"/>
  <c r="N706" i="1"/>
  <c r="N713" i="1"/>
  <c r="N716" i="1"/>
  <c r="N717" i="1"/>
  <c r="N718" i="1"/>
  <c r="N719" i="1"/>
  <c r="N732" i="1"/>
  <c r="N733" i="1"/>
  <c r="N734" i="1"/>
  <c r="N735" i="1"/>
  <c r="N736" i="1"/>
  <c r="N737" i="1"/>
  <c r="N738" i="1"/>
  <c r="N748" i="1"/>
  <c r="N749" i="1"/>
  <c r="N750" i="1"/>
  <c r="N751" i="1"/>
  <c r="N752" i="1"/>
  <c r="N753" i="1"/>
  <c r="N754" i="1"/>
  <c r="N758" i="1"/>
  <c r="N759" i="1"/>
  <c r="N760" i="1"/>
  <c r="N764" i="1"/>
  <c r="N765" i="1"/>
  <c r="N766" i="1"/>
  <c r="N767" i="1"/>
  <c r="N768" i="1"/>
  <c r="N769" i="1"/>
  <c r="N770" i="1"/>
  <c r="N775" i="1"/>
  <c r="N776" i="1"/>
  <c r="N777" i="1"/>
  <c r="N778" i="1"/>
  <c r="N779" i="1"/>
  <c r="N780" i="1"/>
  <c r="N781" i="1"/>
  <c r="N782" i="1"/>
  <c r="N784" i="1"/>
  <c r="N785" i="1"/>
  <c r="N786" i="1"/>
  <c r="N796" i="1"/>
  <c r="N797" i="1"/>
  <c r="N798" i="1"/>
  <c r="N812" i="1"/>
  <c r="N813" i="1"/>
  <c r="N814" i="1"/>
  <c r="N815" i="1"/>
  <c r="N816" i="1"/>
  <c r="N817" i="1"/>
  <c r="N828" i="1"/>
  <c r="N829" i="1"/>
  <c r="N830" i="1"/>
  <c r="N831" i="1"/>
  <c r="N832" i="1"/>
  <c r="N833" i="1"/>
  <c r="N834" i="1"/>
  <c r="N838" i="1"/>
  <c r="N839" i="1"/>
  <c r="N844" i="1"/>
  <c r="N845" i="1"/>
  <c r="N846" i="1"/>
  <c r="N847" i="1"/>
  <c r="N848" i="1"/>
  <c r="N849" i="1"/>
  <c r="N850" i="1"/>
  <c r="N854" i="1"/>
  <c r="N855" i="1"/>
  <c r="N856" i="1"/>
  <c r="N857" i="1"/>
  <c r="N858" i="1"/>
  <c r="N860" i="1"/>
  <c r="N861" i="1"/>
  <c r="N862" i="1"/>
  <c r="N863" i="1"/>
  <c r="N864" i="1"/>
  <c r="N865" i="1"/>
  <c r="N866" i="1"/>
  <c r="N870" i="1"/>
  <c r="N871" i="1"/>
  <c r="N873" i="1"/>
  <c r="N874" i="1"/>
  <c r="N875" i="1"/>
  <c r="N876" i="1"/>
  <c r="N877" i="1"/>
  <c r="N878" i="1"/>
  <c r="N882" i="1"/>
  <c r="N892" i="1"/>
  <c r="N893" i="1"/>
  <c r="N894" i="1"/>
  <c r="N895" i="1"/>
  <c r="N896" i="1"/>
  <c r="N908" i="1"/>
  <c r="N909" i="1"/>
  <c r="N910" i="1"/>
  <c r="N911" i="1"/>
  <c r="N912" i="1"/>
  <c r="N913" i="1"/>
  <c r="N914" i="1"/>
  <c r="N918" i="1"/>
  <c r="N924" i="1"/>
  <c r="N925" i="1"/>
  <c r="N926" i="1"/>
  <c r="N927" i="1"/>
  <c r="N928" i="1"/>
  <c r="N929" i="1"/>
  <c r="N930" i="1"/>
  <c r="N934" i="1"/>
  <c r="N935" i="1"/>
  <c r="N936" i="1"/>
  <c r="N937" i="1"/>
  <c r="N940" i="1"/>
  <c r="N941" i="1"/>
  <c r="N942" i="1"/>
  <c r="N943" i="1"/>
  <c r="N944" i="1"/>
  <c r="N945" i="1"/>
  <c r="N946" i="1"/>
  <c r="N950" i="1"/>
  <c r="N952" i="1"/>
  <c r="N953" i="1"/>
  <c r="N954" i="1"/>
  <c r="N955" i="1"/>
  <c r="N956" i="1"/>
  <c r="N957" i="1"/>
  <c r="N958" i="1"/>
  <c r="N961" i="1"/>
  <c r="N962" i="1"/>
  <c r="N969" i="1"/>
  <c r="N972" i="1"/>
  <c r="N973" i="1"/>
  <c r="N974" i="1"/>
  <c r="N975" i="1"/>
  <c r="N988" i="1"/>
  <c r="N989" i="1"/>
  <c r="N990" i="1"/>
  <c r="N991" i="1"/>
  <c r="N992" i="1"/>
  <c r="N993" i="1"/>
  <c r="N994" i="1"/>
  <c r="M3" i="1"/>
  <c r="N3" i="1" s="1"/>
  <c r="M4" i="1"/>
  <c r="N4" i="1" s="1"/>
  <c r="M5" i="1"/>
  <c r="N5" i="1" s="1"/>
  <c r="M6" i="1"/>
  <c r="N6" i="1" s="1"/>
  <c r="M7" i="1"/>
  <c r="N7" i="1" s="1"/>
  <c r="M8" i="1"/>
  <c r="N8" i="1" s="1"/>
  <c r="M9" i="1"/>
  <c r="N9" i="1" s="1"/>
  <c r="M10" i="1"/>
  <c r="N10" i="1" s="1"/>
  <c r="M11" i="1"/>
  <c r="N11" i="1" s="1"/>
  <c r="M12" i="1"/>
  <c r="M13" i="1"/>
  <c r="M14" i="1"/>
  <c r="M15" i="1"/>
  <c r="M16" i="1"/>
  <c r="M17" i="1"/>
  <c r="M18" i="1"/>
  <c r="M19" i="1"/>
  <c r="N19" i="1" s="1"/>
  <c r="M20" i="1"/>
  <c r="N20" i="1" s="1"/>
  <c r="M21" i="1"/>
  <c r="N21" i="1" s="1"/>
  <c r="M22" i="1"/>
  <c r="M23" i="1"/>
  <c r="M24" i="1"/>
  <c r="M25" i="1"/>
  <c r="N25" i="1" s="1"/>
  <c r="M26" i="1"/>
  <c r="N26" i="1" s="1"/>
  <c r="M27" i="1"/>
  <c r="N27" i="1" s="1"/>
  <c r="M28" i="1"/>
  <c r="M29" i="1"/>
  <c r="M30" i="1"/>
  <c r="M31" i="1"/>
  <c r="M32" i="1"/>
  <c r="M33" i="1"/>
  <c r="M34" i="1"/>
  <c r="M35" i="1"/>
  <c r="N35" i="1" s="1"/>
  <c r="M36" i="1"/>
  <c r="N36" i="1" s="1"/>
  <c r="M37" i="1"/>
  <c r="N37" i="1" s="1"/>
  <c r="M38" i="1"/>
  <c r="N38" i="1" s="1"/>
  <c r="M39" i="1"/>
  <c r="N39" i="1" s="1"/>
  <c r="M40" i="1"/>
  <c r="N40" i="1" s="1"/>
  <c r="M41" i="1"/>
  <c r="M42" i="1"/>
  <c r="M43" i="1"/>
  <c r="M44" i="1"/>
  <c r="M45" i="1"/>
  <c r="M46" i="1"/>
  <c r="M47" i="1"/>
  <c r="N47" i="1" s="1"/>
  <c r="M48" i="1"/>
  <c r="N48" i="1" s="1"/>
  <c r="M49" i="1"/>
  <c r="M50" i="1"/>
  <c r="M51" i="1"/>
  <c r="N51" i="1" s="1"/>
  <c r="M52" i="1"/>
  <c r="N52" i="1" s="1"/>
  <c r="M53" i="1"/>
  <c r="N53" i="1" s="1"/>
  <c r="M54" i="1"/>
  <c r="N54" i="1" s="1"/>
  <c r="M55" i="1"/>
  <c r="N55" i="1" s="1"/>
  <c r="M56" i="1"/>
  <c r="N56" i="1" s="1"/>
  <c r="M57" i="1"/>
  <c r="M58" i="1"/>
  <c r="N58" i="1" s="1"/>
  <c r="M59" i="1"/>
  <c r="N59" i="1" s="1"/>
  <c r="M60" i="1"/>
  <c r="M61" i="1"/>
  <c r="M62" i="1"/>
  <c r="M63" i="1"/>
  <c r="M64" i="1"/>
  <c r="M65" i="1"/>
  <c r="N65" i="1" s="1"/>
  <c r="M66" i="1"/>
  <c r="N66" i="1" s="1"/>
  <c r="M67" i="1"/>
  <c r="N67" i="1" s="1"/>
  <c r="M68" i="1"/>
  <c r="N68" i="1" s="1"/>
  <c r="M69" i="1"/>
  <c r="N69" i="1" s="1"/>
  <c r="M70" i="1"/>
  <c r="N70" i="1" s="1"/>
  <c r="M71" i="1"/>
  <c r="N71" i="1" s="1"/>
  <c r="M72" i="1"/>
  <c r="N72" i="1" s="1"/>
  <c r="M73" i="1"/>
  <c r="N73" i="1" s="1"/>
  <c r="M74" i="1"/>
  <c r="N74" i="1" s="1"/>
  <c r="M75" i="1"/>
  <c r="N75" i="1" s="1"/>
  <c r="M76" i="1"/>
  <c r="M77" i="1"/>
  <c r="M78" i="1"/>
  <c r="M79" i="1"/>
  <c r="M80" i="1"/>
  <c r="M81" i="1"/>
  <c r="M82" i="1"/>
  <c r="M83" i="1"/>
  <c r="N83" i="1" s="1"/>
  <c r="M84" i="1"/>
  <c r="N84" i="1" s="1"/>
  <c r="M85" i="1"/>
  <c r="N85" i="1" s="1"/>
  <c r="M86" i="1"/>
  <c r="N86" i="1" s="1"/>
  <c r="M87" i="1"/>
  <c r="M88" i="1"/>
  <c r="M89" i="1"/>
  <c r="N89" i="1" s="1"/>
  <c r="M90" i="1"/>
  <c r="N90" i="1" s="1"/>
  <c r="M91" i="1"/>
  <c r="N91" i="1" s="1"/>
  <c r="M92" i="1"/>
  <c r="M93" i="1"/>
  <c r="M94" i="1"/>
  <c r="M95" i="1"/>
  <c r="M96" i="1"/>
  <c r="M97" i="1"/>
  <c r="M98" i="1"/>
  <c r="M99" i="1"/>
  <c r="N99" i="1" s="1"/>
  <c r="M100" i="1"/>
  <c r="N100" i="1" s="1"/>
  <c r="M101" i="1"/>
  <c r="N101" i="1" s="1"/>
  <c r="M102" i="1"/>
  <c r="N102" i="1" s="1"/>
  <c r="M103" i="1"/>
  <c r="N103" i="1" s="1"/>
  <c r="M104" i="1"/>
  <c r="N104" i="1" s="1"/>
  <c r="M105" i="1"/>
  <c r="M106" i="1"/>
  <c r="M107" i="1"/>
  <c r="M108" i="1"/>
  <c r="M109" i="1"/>
  <c r="M110" i="1"/>
  <c r="M111" i="1"/>
  <c r="N111" i="1" s="1"/>
  <c r="M112" i="1"/>
  <c r="N112" i="1" s="1"/>
  <c r="M113" i="1"/>
  <c r="M114" i="1"/>
  <c r="M115" i="1"/>
  <c r="N115" i="1" s="1"/>
  <c r="M116" i="1"/>
  <c r="N116" i="1" s="1"/>
  <c r="M117" i="1"/>
  <c r="N117" i="1" s="1"/>
  <c r="M118" i="1"/>
  <c r="N118" i="1" s="1"/>
  <c r="M119" i="1"/>
  <c r="N119" i="1" s="1"/>
  <c r="M120" i="1"/>
  <c r="N120" i="1" s="1"/>
  <c r="M121" i="1"/>
  <c r="M122" i="1"/>
  <c r="N122" i="1" s="1"/>
  <c r="M123" i="1"/>
  <c r="N123" i="1" s="1"/>
  <c r="M124" i="1"/>
  <c r="M125" i="1"/>
  <c r="M126" i="1"/>
  <c r="M127" i="1"/>
  <c r="M128" i="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M141" i="1"/>
  <c r="M142" i="1"/>
  <c r="M143" i="1"/>
  <c r="M144" i="1"/>
  <c r="M145" i="1"/>
  <c r="M146" i="1"/>
  <c r="M147" i="1"/>
  <c r="N147" i="1" s="1"/>
  <c r="M148" i="1"/>
  <c r="N148" i="1" s="1"/>
  <c r="M149" i="1"/>
  <c r="N149" i="1" s="1"/>
  <c r="M150" i="1"/>
  <c r="N150" i="1" s="1"/>
  <c r="M151" i="1"/>
  <c r="M152" i="1"/>
  <c r="M153" i="1"/>
  <c r="N153" i="1" s="1"/>
  <c r="M154" i="1"/>
  <c r="N154" i="1" s="1"/>
  <c r="M155" i="1"/>
  <c r="N155" i="1" s="1"/>
  <c r="M156" i="1"/>
  <c r="M157" i="1"/>
  <c r="M158" i="1"/>
  <c r="M159" i="1"/>
  <c r="M160" i="1"/>
  <c r="M161" i="1"/>
  <c r="M162" i="1"/>
  <c r="M163" i="1"/>
  <c r="N163" i="1" s="1"/>
  <c r="M164" i="1"/>
  <c r="N164" i="1" s="1"/>
  <c r="M165" i="1"/>
  <c r="N165" i="1" s="1"/>
  <c r="M166" i="1"/>
  <c r="N166" i="1" s="1"/>
  <c r="M167" i="1"/>
  <c r="N167" i="1" s="1"/>
  <c r="M168" i="1"/>
  <c r="M169" i="1"/>
  <c r="M170" i="1"/>
  <c r="M171" i="1"/>
  <c r="M172" i="1"/>
  <c r="M173" i="1"/>
  <c r="M174" i="1"/>
  <c r="M175" i="1"/>
  <c r="N175" i="1" s="1"/>
  <c r="M176" i="1"/>
  <c r="N176" i="1" s="1"/>
  <c r="M177" i="1"/>
  <c r="M178" i="1"/>
  <c r="M179" i="1"/>
  <c r="N179" i="1" s="1"/>
  <c r="M180" i="1"/>
  <c r="N180" i="1" s="1"/>
  <c r="M181" i="1"/>
  <c r="N181" i="1" s="1"/>
  <c r="M182" i="1"/>
  <c r="N182" i="1" s="1"/>
  <c r="M183" i="1"/>
  <c r="N183" i="1" s="1"/>
  <c r="M184" i="1"/>
  <c r="N184" i="1" s="1"/>
  <c r="M185" i="1"/>
  <c r="M186" i="1"/>
  <c r="N186" i="1" s="1"/>
  <c r="M187" i="1"/>
  <c r="N187" i="1" s="1"/>
  <c r="M188" i="1"/>
  <c r="M189" i="1"/>
  <c r="M190" i="1"/>
  <c r="M191" i="1"/>
  <c r="M192" i="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M205" i="1"/>
  <c r="M206" i="1"/>
  <c r="M207" i="1"/>
  <c r="M208" i="1"/>
  <c r="M209" i="1"/>
  <c r="M210" i="1"/>
  <c r="M211" i="1"/>
  <c r="N211" i="1" s="1"/>
  <c r="M212" i="1"/>
  <c r="N212" i="1" s="1"/>
  <c r="M213" i="1"/>
  <c r="N213" i="1" s="1"/>
  <c r="M214" i="1"/>
  <c r="N214" i="1" s="1"/>
  <c r="M215" i="1"/>
  <c r="M216" i="1"/>
  <c r="M217" i="1"/>
  <c r="N217" i="1" s="1"/>
  <c r="M218" i="1"/>
  <c r="N218" i="1" s="1"/>
  <c r="M219" i="1"/>
  <c r="N219" i="1" s="1"/>
  <c r="M220" i="1"/>
  <c r="M221" i="1"/>
  <c r="M222" i="1"/>
  <c r="M223" i="1"/>
  <c r="M224" i="1"/>
  <c r="M225" i="1"/>
  <c r="M226" i="1"/>
  <c r="M227" i="1"/>
  <c r="N227" i="1" s="1"/>
  <c r="M228" i="1"/>
  <c r="N228" i="1" s="1"/>
  <c r="M229" i="1"/>
  <c r="N229" i="1" s="1"/>
  <c r="M230" i="1"/>
  <c r="N230" i="1" s="1"/>
  <c r="M231" i="1"/>
  <c r="N231" i="1" s="1"/>
  <c r="M232" i="1"/>
  <c r="M233" i="1"/>
  <c r="M234" i="1"/>
  <c r="M235" i="1"/>
  <c r="M236" i="1"/>
  <c r="M237" i="1"/>
  <c r="M238" i="1"/>
  <c r="M239" i="1"/>
  <c r="N239" i="1" s="1"/>
  <c r="M240" i="1"/>
  <c r="N240" i="1" s="1"/>
  <c r="M241" i="1"/>
  <c r="M242" i="1"/>
  <c r="M243" i="1"/>
  <c r="N243" i="1" s="1"/>
  <c r="M244" i="1"/>
  <c r="N244" i="1" s="1"/>
  <c r="M245" i="1"/>
  <c r="N245" i="1" s="1"/>
  <c r="M246" i="1"/>
  <c r="N246" i="1" s="1"/>
  <c r="M247" i="1"/>
  <c r="N247" i="1" s="1"/>
  <c r="M248" i="1"/>
  <c r="N248" i="1" s="1"/>
  <c r="M249" i="1"/>
  <c r="M250" i="1"/>
  <c r="N250" i="1" s="1"/>
  <c r="M251" i="1"/>
  <c r="N251" i="1" s="1"/>
  <c r="M252" i="1"/>
  <c r="M253" i="1"/>
  <c r="M254" i="1"/>
  <c r="M255" i="1"/>
  <c r="M256" i="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M269" i="1"/>
  <c r="M270" i="1"/>
  <c r="M271" i="1"/>
  <c r="M272" i="1"/>
  <c r="M273" i="1"/>
  <c r="M274" i="1"/>
  <c r="M275" i="1"/>
  <c r="N275" i="1" s="1"/>
  <c r="M276" i="1"/>
  <c r="N276" i="1" s="1"/>
  <c r="M277" i="1"/>
  <c r="N277" i="1" s="1"/>
  <c r="M278" i="1"/>
  <c r="N278" i="1" s="1"/>
  <c r="M279" i="1"/>
  <c r="M280" i="1"/>
  <c r="M281" i="1"/>
  <c r="N281" i="1" s="1"/>
  <c r="M282" i="1"/>
  <c r="N282" i="1" s="1"/>
  <c r="M283" i="1"/>
  <c r="N283" i="1" s="1"/>
  <c r="M284" i="1"/>
  <c r="M285" i="1"/>
  <c r="M286" i="1"/>
  <c r="M287" i="1"/>
  <c r="M288" i="1"/>
  <c r="M289" i="1"/>
  <c r="M290" i="1"/>
  <c r="M291" i="1"/>
  <c r="N291" i="1" s="1"/>
  <c r="M292" i="1"/>
  <c r="N292" i="1" s="1"/>
  <c r="M293" i="1"/>
  <c r="N293" i="1" s="1"/>
  <c r="M294" i="1"/>
  <c r="N294" i="1" s="1"/>
  <c r="M295" i="1"/>
  <c r="N295" i="1" s="1"/>
  <c r="M296" i="1"/>
  <c r="M297" i="1"/>
  <c r="M298" i="1"/>
  <c r="M299" i="1"/>
  <c r="M300" i="1"/>
  <c r="M301" i="1"/>
  <c r="M302" i="1"/>
  <c r="M303" i="1"/>
  <c r="N303" i="1" s="1"/>
  <c r="M304" i="1"/>
  <c r="N304" i="1" s="1"/>
  <c r="M305" i="1"/>
  <c r="M306" i="1"/>
  <c r="M307" i="1"/>
  <c r="N307" i="1" s="1"/>
  <c r="M308" i="1"/>
  <c r="N308" i="1" s="1"/>
  <c r="M309" i="1"/>
  <c r="N309" i="1" s="1"/>
  <c r="M310" i="1"/>
  <c r="N310" i="1" s="1"/>
  <c r="M311" i="1"/>
  <c r="N311" i="1" s="1"/>
  <c r="M312" i="1"/>
  <c r="N312" i="1" s="1"/>
  <c r="M313" i="1"/>
  <c r="M314" i="1"/>
  <c r="N314" i="1" s="1"/>
  <c r="M315" i="1"/>
  <c r="N315" i="1" s="1"/>
  <c r="M316" i="1"/>
  <c r="M317" i="1"/>
  <c r="M318" i="1"/>
  <c r="M319" i="1"/>
  <c r="M320" i="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M333" i="1"/>
  <c r="M334" i="1"/>
  <c r="M335" i="1"/>
  <c r="M336" i="1"/>
  <c r="M337" i="1"/>
  <c r="M338" i="1"/>
  <c r="M339" i="1"/>
  <c r="N339" i="1" s="1"/>
  <c r="M340" i="1"/>
  <c r="N340" i="1" s="1"/>
  <c r="M341" i="1"/>
  <c r="N341" i="1" s="1"/>
  <c r="M342" i="1"/>
  <c r="N342" i="1" s="1"/>
  <c r="M343" i="1"/>
  <c r="M344" i="1"/>
  <c r="M345" i="1"/>
  <c r="N345" i="1" s="1"/>
  <c r="M346" i="1"/>
  <c r="N346" i="1" s="1"/>
  <c r="M347" i="1"/>
  <c r="N347" i="1" s="1"/>
  <c r="M348" i="1"/>
  <c r="M349" i="1"/>
  <c r="M350" i="1"/>
  <c r="M351" i="1"/>
  <c r="M352" i="1"/>
  <c r="M353" i="1"/>
  <c r="M354" i="1"/>
  <c r="M355" i="1"/>
  <c r="N355" i="1" s="1"/>
  <c r="M356" i="1"/>
  <c r="N356" i="1" s="1"/>
  <c r="M357" i="1"/>
  <c r="N357" i="1" s="1"/>
  <c r="M358" i="1"/>
  <c r="N358" i="1" s="1"/>
  <c r="M359" i="1"/>
  <c r="N359" i="1" s="1"/>
  <c r="M360" i="1"/>
  <c r="M361" i="1"/>
  <c r="M362" i="1"/>
  <c r="M363" i="1"/>
  <c r="M364" i="1"/>
  <c r="M365" i="1"/>
  <c r="M366" i="1"/>
  <c r="M367" i="1"/>
  <c r="N367" i="1" s="1"/>
  <c r="M368" i="1"/>
  <c r="N368" i="1" s="1"/>
  <c r="M369" i="1"/>
  <c r="M370" i="1"/>
  <c r="M371" i="1"/>
  <c r="N371" i="1" s="1"/>
  <c r="M372" i="1"/>
  <c r="N372" i="1" s="1"/>
  <c r="M373" i="1"/>
  <c r="N373" i="1" s="1"/>
  <c r="M374" i="1"/>
  <c r="N374" i="1" s="1"/>
  <c r="M375" i="1"/>
  <c r="N375" i="1" s="1"/>
  <c r="M376" i="1"/>
  <c r="N376" i="1" s="1"/>
  <c r="M377" i="1"/>
  <c r="M378" i="1"/>
  <c r="N378" i="1" s="1"/>
  <c r="M379" i="1"/>
  <c r="N379" i="1" s="1"/>
  <c r="M380" i="1"/>
  <c r="M381" i="1"/>
  <c r="M382" i="1"/>
  <c r="M383" i="1"/>
  <c r="M384" i="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M397" i="1"/>
  <c r="M398" i="1"/>
  <c r="M399" i="1"/>
  <c r="M400" i="1"/>
  <c r="M401" i="1"/>
  <c r="M402" i="1"/>
  <c r="M403" i="1"/>
  <c r="N403" i="1" s="1"/>
  <c r="M404" i="1"/>
  <c r="N404" i="1" s="1"/>
  <c r="M405" i="1"/>
  <c r="N405" i="1" s="1"/>
  <c r="M406" i="1"/>
  <c r="M407" i="1"/>
  <c r="N407" i="1" s="1"/>
  <c r="M408" i="1"/>
  <c r="N408" i="1" s="1"/>
  <c r="M409" i="1"/>
  <c r="N409" i="1" s="1"/>
  <c r="M410" i="1"/>
  <c r="N410" i="1" s="1"/>
  <c r="M411" i="1"/>
  <c r="N411" i="1" s="1"/>
  <c r="M412" i="1"/>
  <c r="M413" i="1"/>
  <c r="M414" i="1"/>
  <c r="M415" i="1"/>
  <c r="M416" i="1"/>
  <c r="M417" i="1"/>
  <c r="M418" i="1"/>
  <c r="M419" i="1"/>
  <c r="N419" i="1" s="1"/>
  <c r="M420" i="1"/>
  <c r="N420" i="1" s="1"/>
  <c r="M421" i="1"/>
  <c r="N421" i="1" s="1"/>
  <c r="M422" i="1"/>
  <c r="M423" i="1"/>
  <c r="M424" i="1"/>
  <c r="M425" i="1"/>
  <c r="M426" i="1"/>
  <c r="N426" i="1" s="1"/>
  <c r="M427" i="1"/>
  <c r="N427" i="1" s="1"/>
  <c r="M428" i="1"/>
  <c r="M429" i="1"/>
  <c r="M430" i="1"/>
  <c r="M431" i="1"/>
  <c r="M432" i="1"/>
  <c r="M433" i="1"/>
  <c r="M434" i="1"/>
  <c r="M435" i="1"/>
  <c r="N435" i="1" s="1"/>
  <c r="M436" i="1"/>
  <c r="N436" i="1" s="1"/>
  <c r="M437" i="1"/>
  <c r="N437" i="1" s="1"/>
  <c r="M438" i="1"/>
  <c r="M439" i="1"/>
  <c r="N439" i="1" s="1"/>
  <c r="M440" i="1"/>
  <c r="M441" i="1"/>
  <c r="M442" i="1"/>
  <c r="M443" i="1"/>
  <c r="M444" i="1"/>
  <c r="M445" i="1"/>
  <c r="M446" i="1"/>
  <c r="M447" i="1"/>
  <c r="N447" i="1" s="1"/>
  <c r="M448" i="1"/>
  <c r="N448" i="1" s="1"/>
  <c r="M449" i="1"/>
  <c r="M450" i="1"/>
  <c r="M451" i="1"/>
  <c r="N451" i="1" s="1"/>
  <c r="M452" i="1"/>
  <c r="N452" i="1" s="1"/>
  <c r="M453" i="1"/>
  <c r="N453" i="1" s="1"/>
  <c r="M454" i="1"/>
  <c r="N454" i="1" s="1"/>
  <c r="M455" i="1"/>
  <c r="N455" i="1" s="1"/>
  <c r="M456" i="1"/>
  <c r="N456" i="1" s="1"/>
  <c r="M457" i="1"/>
  <c r="M458" i="1"/>
  <c r="N458" i="1" s="1"/>
  <c r="M459" i="1"/>
  <c r="N459" i="1" s="1"/>
  <c r="M460" i="1"/>
  <c r="M461" i="1"/>
  <c r="M462" i="1"/>
  <c r="M463" i="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M477" i="1"/>
  <c r="M478" i="1"/>
  <c r="M479" i="1"/>
  <c r="M480" i="1"/>
  <c r="M481" i="1"/>
  <c r="M482" i="1"/>
  <c r="M483" i="1"/>
  <c r="N483" i="1" s="1"/>
  <c r="M484" i="1"/>
  <c r="N484" i="1" s="1"/>
  <c r="M485" i="1"/>
  <c r="N485" i="1" s="1"/>
  <c r="M486" i="1"/>
  <c r="N486" i="1" s="1"/>
  <c r="M487" i="1"/>
  <c r="N487" i="1" s="1"/>
  <c r="M488" i="1"/>
  <c r="N488" i="1" s="1"/>
  <c r="M489" i="1"/>
  <c r="N489" i="1" s="1"/>
  <c r="M490" i="1"/>
  <c r="N490" i="1" s="1"/>
  <c r="M491" i="1"/>
  <c r="N491" i="1" s="1"/>
  <c r="M492" i="1"/>
  <c r="M493" i="1"/>
  <c r="M494" i="1"/>
  <c r="M495" i="1"/>
  <c r="M496" i="1"/>
  <c r="M497" i="1"/>
  <c r="M498" i="1"/>
  <c r="M499" i="1"/>
  <c r="N499" i="1" s="1"/>
  <c r="M500" i="1"/>
  <c r="N500" i="1" s="1"/>
  <c r="M501" i="1"/>
  <c r="N501" i="1" s="1"/>
  <c r="M502" i="1"/>
  <c r="M503" i="1"/>
  <c r="M504" i="1"/>
  <c r="M505" i="1"/>
  <c r="N505" i="1" s="1"/>
  <c r="M506" i="1"/>
  <c r="N506" i="1" s="1"/>
  <c r="M507" i="1"/>
  <c r="N507" i="1" s="1"/>
  <c r="M508" i="1"/>
  <c r="M509" i="1"/>
  <c r="M510" i="1"/>
  <c r="M511" i="1"/>
  <c r="M512" i="1"/>
  <c r="M513" i="1"/>
  <c r="M514" i="1"/>
  <c r="M515" i="1"/>
  <c r="N515" i="1" s="1"/>
  <c r="M516" i="1"/>
  <c r="N516" i="1" s="1"/>
  <c r="M517" i="1"/>
  <c r="N517" i="1" s="1"/>
  <c r="M518" i="1"/>
  <c r="N518" i="1" s="1"/>
  <c r="M519" i="1"/>
  <c r="M520" i="1"/>
  <c r="M521" i="1"/>
  <c r="M522" i="1"/>
  <c r="M523" i="1"/>
  <c r="M524" i="1"/>
  <c r="M525" i="1"/>
  <c r="M526" i="1"/>
  <c r="M527" i="1"/>
  <c r="N527" i="1" s="1"/>
  <c r="M528" i="1"/>
  <c r="M529" i="1"/>
  <c r="M530" i="1"/>
  <c r="M531" i="1"/>
  <c r="N531" i="1" s="1"/>
  <c r="M532" i="1"/>
  <c r="N532" i="1" s="1"/>
  <c r="M533" i="1"/>
  <c r="N533" i="1" s="1"/>
  <c r="M534" i="1"/>
  <c r="N534" i="1" s="1"/>
  <c r="M535" i="1"/>
  <c r="N535" i="1" s="1"/>
  <c r="M536" i="1"/>
  <c r="N536" i="1" s="1"/>
  <c r="M537" i="1"/>
  <c r="N537" i="1" s="1"/>
  <c r="M538" i="1"/>
  <c r="N538" i="1" s="1"/>
  <c r="M539" i="1"/>
  <c r="N539" i="1" s="1"/>
  <c r="M540" i="1"/>
  <c r="M541" i="1"/>
  <c r="M542" i="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M557" i="1"/>
  <c r="M558" i="1"/>
  <c r="M559" i="1"/>
  <c r="M560" i="1"/>
  <c r="M561" i="1"/>
  <c r="M562" i="1"/>
  <c r="N562" i="1" s="1"/>
  <c r="M563" i="1"/>
  <c r="N563" i="1" s="1"/>
  <c r="M564" i="1"/>
  <c r="N564" i="1" s="1"/>
  <c r="M565" i="1"/>
  <c r="N565" i="1" s="1"/>
  <c r="M566" i="1"/>
  <c r="N566" i="1" s="1"/>
  <c r="M567" i="1"/>
  <c r="N567" i="1" s="1"/>
  <c r="M568" i="1"/>
  <c r="N568" i="1" s="1"/>
  <c r="M569" i="1"/>
  <c r="N569" i="1" s="1"/>
  <c r="M570" i="1"/>
  <c r="N570" i="1" s="1"/>
  <c r="M571" i="1"/>
  <c r="N571" i="1" s="1"/>
  <c r="M572" i="1"/>
  <c r="M573" i="1"/>
  <c r="M574" i="1"/>
  <c r="M575" i="1"/>
  <c r="M576" i="1"/>
  <c r="M577" i="1"/>
  <c r="M578" i="1"/>
  <c r="M579" i="1"/>
  <c r="N579" i="1" s="1"/>
  <c r="M580" i="1"/>
  <c r="N580" i="1" s="1"/>
  <c r="M581" i="1"/>
  <c r="N581" i="1" s="1"/>
  <c r="M582" i="1"/>
  <c r="M583" i="1"/>
  <c r="M584" i="1"/>
  <c r="N584" i="1" s="1"/>
  <c r="M585" i="1"/>
  <c r="N585" i="1" s="1"/>
  <c r="M586" i="1"/>
  <c r="N586" i="1" s="1"/>
  <c r="M587" i="1"/>
  <c r="N587" i="1" s="1"/>
  <c r="M588" i="1"/>
  <c r="M589" i="1"/>
  <c r="M590" i="1"/>
  <c r="M591" i="1"/>
  <c r="M592" i="1"/>
  <c r="M593" i="1"/>
  <c r="M594" i="1"/>
  <c r="M595" i="1"/>
  <c r="N595" i="1" s="1"/>
  <c r="M596" i="1"/>
  <c r="N596" i="1" s="1"/>
  <c r="M597" i="1"/>
  <c r="N597" i="1" s="1"/>
  <c r="M598" i="1"/>
  <c r="M599" i="1"/>
  <c r="M600" i="1"/>
  <c r="M601" i="1"/>
  <c r="M602" i="1"/>
  <c r="M603" i="1"/>
  <c r="N603" i="1" s="1"/>
  <c r="M604" i="1"/>
  <c r="M605" i="1"/>
  <c r="M606" i="1"/>
  <c r="M607" i="1"/>
  <c r="M608" i="1"/>
  <c r="M609" i="1"/>
  <c r="M610" i="1"/>
  <c r="M611" i="1"/>
  <c r="N611" i="1" s="1"/>
  <c r="M612" i="1"/>
  <c r="N612" i="1" s="1"/>
  <c r="M613" i="1"/>
  <c r="N613" i="1" s="1"/>
  <c r="M614" i="1"/>
  <c r="M615" i="1"/>
  <c r="M616" i="1"/>
  <c r="N616" i="1" s="1"/>
  <c r="M617" i="1"/>
  <c r="M618" i="1"/>
  <c r="M619" i="1"/>
  <c r="M620" i="1"/>
  <c r="M621" i="1"/>
  <c r="M622" i="1"/>
  <c r="M623" i="1"/>
  <c r="N623" i="1" s="1"/>
  <c r="M624" i="1"/>
  <c r="N624" i="1" s="1"/>
  <c r="M625" i="1"/>
  <c r="N625" i="1" s="1"/>
  <c r="M626" i="1"/>
  <c r="M627" i="1"/>
  <c r="N627" i="1" s="1"/>
  <c r="M628" i="1"/>
  <c r="N628" i="1" s="1"/>
  <c r="M629" i="1"/>
  <c r="N629" i="1" s="1"/>
  <c r="M630" i="1"/>
  <c r="N630" i="1" s="1"/>
  <c r="M631" i="1"/>
  <c r="N631" i="1" s="1"/>
  <c r="M632" i="1"/>
  <c r="N632" i="1" s="1"/>
  <c r="M633" i="1"/>
  <c r="M634" i="1"/>
  <c r="N634" i="1" s="1"/>
  <c r="M635" i="1"/>
  <c r="N635" i="1" s="1"/>
  <c r="M636" i="1"/>
  <c r="M637" i="1"/>
  <c r="M638" i="1"/>
  <c r="M639" i="1"/>
  <c r="M640" i="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M653" i="1"/>
  <c r="M654" i="1"/>
  <c r="M655" i="1"/>
  <c r="M656" i="1"/>
  <c r="M657" i="1"/>
  <c r="M658" i="1"/>
  <c r="M659" i="1"/>
  <c r="N659" i="1" s="1"/>
  <c r="M660" i="1"/>
  <c r="N660" i="1" s="1"/>
  <c r="M661" i="1"/>
  <c r="N661" i="1" s="1"/>
  <c r="M662" i="1"/>
  <c r="M663" i="1"/>
  <c r="N663" i="1" s="1"/>
  <c r="M664" i="1"/>
  <c r="N664" i="1" s="1"/>
  <c r="M665" i="1"/>
  <c r="N665" i="1" s="1"/>
  <c r="M666" i="1"/>
  <c r="N666" i="1" s="1"/>
  <c r="M667" i="1"/>
  <c r="N667" i="1" s="1"/>
  <c r="M668" i="1"/>
  <c r="M669" i="1"/>
  <c r="M670" i="1"/>
  <c r="M671" i="1"/>
  <c r="M672" i="1"/>
  <c r="M673" i="1"/>
  <c r="M674" i="1"/>
  <c r="M675" i="1"/>
  <c r="N675" i="1" s="1"/>
  <c r="M676" i="1"/>
  <c r="N676" i="1" s="1"/>
  <c r="M677" i="1"/>
  <c r="N677" i="1" s="1"/>
  <c r="M678" i="1"/>
  <c r="M679" i="1"/>
  <c r="M680" i="1"/>
  <c r="M681" i="1"/>
  <c r="M682" i="1"/>
  <c r="N682" i="1" s="1"/>
  <c r="M683" i="1"/>
  <c r="N683" i="1" s="1"/>
  <c r="M684" i="1"/>
  <c r="M685" i="1"/>
  <c r="M686" i="1"/>
  <c r="M687" i="1"/>
  <c r="M688" i="1"/>
  <c r="M689" i="1"/>
  <c r="M690" i="1"/>
  <c r="M691" i="1"/>
  <c r="N691" i="1" s="1"/>
  <c r="M692" i="1"/>
  <c r="N692" i="1" s="1"/>
  <c r="M693" i="1"/>
  <c r="N693" i="1" s="1"/>
  <c r="M694" i="1"/>
  <c r="M695" i="1"/>
  <c r="N695" i="1" s="1"/>
  <c r="M696" i="1"/>
  <c r="M697" i="1"/>
  <c r="M698" i="1"/>
  <c r="M699" i="1"/>
  <c r="M700" i="1"/>
  <c r="M701" i="1"/>
  <c r="M702" i="1"/>
  <c r="M703" i="1"/>
  <c r="N703" i="1" s="1"/>
  <c r="M704" i="1"/>
  <c r="N704" i="1" s="1"/>
  <c r="M705" i="1"/>
  <c r="M706" i="1"/>
  <c r="M707" i="1"/>
  <c r="N707" i="1" s="1"/>
  <c r="M708" i="1"/>
  <c r="N708" i="1" s="1"/>
  <c r="M709" i="1"/>
  <c r="N709" i="1" s="1"/>
  <c r="M710" i="1"/>
  <c r="N710" i="1" s="1"/>
  <c r="M711" i="1"/>
  <c r="N711" i="1" s="1"/>
  <c r="M712" i="1"/>
  <c r="N712" i="1" s="1"/>
  <c r="M713" i="1"/>
  <c r="M714" i="1"/>
  <c r="N714" i="1" s="1"/>
  <c r="M715" i="1"/>
  <c r="N715" i="1" s="1"/>
  <c r="M716" i="1"/>
  <c r="M717" i="1"/>
  <c r="M718" i="1"/>
  <c r="M719" i="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M733" i="1"/>
  <c r="M734" i="1"/>
  <c r="M735" i="1"/>
  <c r="M736" i="1"/>
  <c r="M737" i="1"/>
  <c r="M738" i="1"/>
  <c r="M739" i="1"/>
  <c r="N739" i="1" s="1"/>
  <c r="M740" i="1"/>
  <c r="N740" i="1" s="1"/>
  <c r="M741" i="1"/>
  <c r="N741" i="1" s="1"/>
  <c r="M742" i="1"/>
  <c r="N742" i="1" s="1"/>
  <c r="M743" i="1"/>
  <c r="N743" i="1" s="1"/>
  <c r="M744" i="1"/>
  <c r="N744" i="1" s="1"/>
  <c r="M745" i="1"/>
  <c r="N745" i="1" s="1"/>
  <c r="M746" i="1"/>
  <c r="N746" i="1" s="1"/>
  <c r="M747" i="1"/>
  <c r="N747" i="1" s="1"/>
  <c r="M748" i="1"/>
  <c r="M749" i="1"/>
  <c r="M750" i="1"/>
  <c r="M751" i="1"/>
  <c r="M752" i="1"/>
  <c r="M753" i="1"/>
  <c r="M754" i="1"/>
  <c r="M755" i="1"/>
  <c r="N755" i="1" s="1"/>
  <c r="M756" i="1"/>
  <c r="N756" i="1" s="1"/>
  <c r="M757" i="1"/>
  <c r="N757" i="1" s="1"/>
  <c r="M758" i="1"/>
  <c r="M759" i="1"/>
  <c r="M760" i="1"/>
  <c r="M761" i="1"/>
  <c r="N761" i="1" s="1"/>
  <c r="M762" i="1"/>
  <c r="N762" i="1" s="1"/>
  <c r="M763" i="1"/>
  <c r="N763" i="1" s="1"/>
  <c r="M764" i="1"/>
  <c r="M765" i="1"/>
  <c r="M766" i="1"/>
  <c r="M767" i="1"/>
  <c r="M768" i="1"/>
  <c r="M769" i="1"/>
  <c r="M770" i="1"/>
  <c r="M771" i="1"/>
  <c r="N771" i="1" s="1"/>
  <c r="M772" i="1"/>
  <c r="N772" i="1" s="1"/>
  <c r="M773" i="1"/>
  <c r="N773" i="1" s="1"/>
  <c r="M774" i="1"/>
  <c r="N774" i="1" s="1"/>
  <c r="M775" i="1"/>
  <c r="M776" i="1"/>
  <c r="M777" i="1"/>
  <c r="M778" i="1"/>
  <c r="M779" i="1"/>
  <c r="M780" i="1"/>
  <c r="M781" i="1"/>
  <c r="M782" i="1"/>
  <c r="M783" i="1"/>
  <c r="N783" i="1" s="1"/>
  <c r="M784" i="1"/>
  <c r="M785" i="1"/>
  <c r="M786" i="1"/>
  <c r="M787" i="1"/>
  <c r="N787" i="1" s="1"/>
  <c r="M788" i="1"/>
  <c r="N788" i="1" s="1"/>
  <c r="M789" i="1"/>
  <c r="N789" i="1" s="1"/>
  <c r="M790" i="1"/>
  <c r="N790" i="1" s="1"/>
  <c r="M791" i="1"/>
  <c r="N791" i="1" s="1"/>
  <c r="M792" i="1"/>
  <c r="N792" i="1" s="1"/>
  <c r="M793" i="1"/>
  <c r="N793" i="1" s="1"/>
  <c r="M794" i="1"/>
  <c r="N794" i="1" s="1"/>
  <c r="M795" i="1"/>
  <c r="N795" i="1" s="1"/>
  <c r="M796" i="1"/>
  <c r="M797" i="1"/>
  <c r="M798" i="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M813" i="1"/>
  <c r="M814" i="1"/>
  <c r="M815" i="1"/>
  <c r="M816" i="1"/>
  <c r="M817" i="1"/>
  <c r="M818" i="1"/>
  <c r="N818" i="1" s="1"/>
  <c r="M819" i="1"/>
  <c r="N819" i="1" s="1"/>
  <c r="M820" i="1"/>
  <c r="N820" i="1" s="1"/>
  <c r="M821" i="1"/>
  <c r="N821" i="1" s="1"/>
  <c r="M822" i="1"/>
  <c r="N822" i="1" s="1"/>
  <c r="M823" i="1"/>
  <c r="N823" i="1" s="1"/>
  <c r="M824" i="1"/>
  <c r="N824" i="1" s="1"/>
  <c r="M825" i="1"/>
  <c r="N825" i="1" s="1"/>
  <c r="M826" i="1"/>
  <c r="N826" i="1" s="1"/>
  <c r="M827" i="1"/>
  <c r="N827" i="1" s="1"/>
  <c r="M828" i="1"/>
  <c r="M829" i="1"/>
  <c r="M830" i="1"/>
  <c r="M831" i="1"/>
  <c r="M832" i="1"/>
  <c r="M833" i="1"/>
  <c r="M834" i="1"/>
  <c r="M835" i="1"/>
  <c r="N835" i="1" s="1"/>
  <c r="M836" i="1"/>
  <c r="N836" i="1" s="1"/>
  <c r="M837" i="1"/>
  <c r="N837" i="1" s="1"/>
  <c r="M838" i="1"/>
  <c r="M839" i="1"/>
  <c r="M840" i="1"/>
  <c r="N840" i="1" s="1"/>
  <c r="M841" i="1"/>
  <c r="N841" i="1" s="1"/>
  <c r="M842" i="1"/>
  <c r="N842" i="1" s="1"/>
  <c r="M843" i="1"/>
  <c r="N843" i="1" s="1"/>
  <c r="M844" i="1"/>
  <c r="M845" i="1"/>
  <c r="M846" i="1"/>
  <c r="M847" i="1"/>
  <c r="M848" i="1"/>
  <c r="M849" i="1"/>
  <c r="M850" i="1"/>
  <c r="M851" i="1"/>
  <c r="N851" i="1" s="1"/>
  <c r="M852" i="1"/>
  <c r="N852" i="1" s="1"/>
  <c r="M853" i="1"/>
  <c r="N853" i="1" s="1"/>
  <c r="M854" i="1"/>
  <c r="M855" i="1"/>
  <c r="M856" i="1"/>
  <c r="M857" i="1"/>
  <c r="M858" i="1"/>
  <c r="M859" i="1"/>
  <c r="N859" i="1" s="1"/>
  <c r="M860" i="1"/>
  <c r="M861" i="1"/>
  <c r="M862" i="1"/>
  <c r="M863" i="1"/>
  <c r="M864" i="1"/>
  <c r="M865" i="1"/>
  <c r="M866" i="1"/>
  <c r="M867" i="1"/>
  <c r="N867" i="1" s="1"/>
  <c r="M868" i="1"/>
  <c r="N868" i="1" s="1"/>
  <c r="M869" i="1"/>
  <c r="N869" i="1" s="1"/>
  <c r="M870" i="1"/>
  <c r="M871" i="1"/>
  <c r="M872" i="1"/>
  <c r="N872" i="1" s="1"/>
  <c r="M873" i="1"/>
  <c r="M874" i="1"/>
  <c r="M875" i="1"/>
  <c r="M876" i="1"/>
  <c r="M877" i="1"/>
  <c r="M878" i="1"/>
  <c r="M879" i="1"/>
  <c r="N879" i="1" s="1"/>
  <c r="M880" i="1"/>
  <c r="N880" i="1" s="1"/>
  <c r="M881" i="1"/>
  <c r="N881" i="1" s="1"/>
  <c r="M882" i="1"/>
  <c r="M883" i="1"/>
  <c r="N883" i="1" s="1"/>
  <c r="M884" i="1"/>
  <c r="N884" i="1" s="1"/>
  <c r="M885" i="1"/>
  <c r="N885" i="1" s="1"/>
  <c r="M886" i="1"/>
  <c r="N886" i="1" s="1"/>
  <c r="M887" i="1"/>
  <c r="N887" i="1" s="1"/>
  <c r="M888" i="1"/>
  <c r="N888" i="1" s="1"/>
  <c r="M889" i="1"/>
  <c r="N889" i="1" s="1"/>
  <c r="M890" i="1"/>
  <c r="N890" i="1" s="1"/>
  <c r="M891" i="1"/>
  <c r="N891" i="1" s="1"/>
  <c r="M892" i="1"/>
  <c r="M893" i="1"/>
  <c r="M894" i="1"/>
  <c r="M895" i="1"/>
  <c r="M896" i="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M909" i="1"/>
  <c r="M910" i="1"/>
  <c r="M911" i="1"/>
  <c r="M912" i="1"/>
  <c r="M913" i="1"/>
  <c r="M914" i="1"/>
  <c r="M915" i="1"/>
  <c r="N915" i="1" s="1"/>
  <c r="M916" i="1"/>
  <c r="N916" i="1" s="1"/>
  <c r="M917" i="1"/>
  <c r="N917" i="1" s="1"/>
  <c r="M918" i="1"/>
  <c r="M919" i="1"/>
  <c r="N919" i="1" s="1"/>
  <c r="M920" i="1"/>
  <c r="N920" i="1" s="1"/>
  <c r="M921" i="1"/>
  <c r="N921" i="1" s="1"/>
  <c r="M922" i="1"/>
  <c r="N922" i="1" s="1"/>
  <c r="M923" i="1"/>
  <c r="N923" i="1" s="1"/>
  <c r="M924" i="1"/>
  <c r="M925" i="1"/>
  <c r="M926" i="1"/>
  <c r="M927" i="1"/>
  <c r="M928" i="1"/>
  <c r="M929" i="1"/>
  <c r="M930" i="1"/>
  <c r="M931" i="1"/>
  <c r="N931" i="1" s="1"/>
  <c r="M932" i="1"/>
  <c r="N932" i="1" s="1"/>
  <c r="M933" i="1"/>
  <c r="N933" i="1" s="1"/>
  <c r="M934" i="1"/>
  <c r="M935" i="1"/>
  <c r="M936" i="1"/>
  <c r="M937" i="1"/>
  <c r="M938" i="1"/>
  <c r="N938" i="1" s="1"/>
  <c r="M939" i="1"/>
  <c r="N939" i="1" s="1"/>
  <c r="M940" i="1"/>
  <c r="M941" i="1"/>
  <c r="M942" i="1"/>
  <c r="M943" i="1"/>
  <c r="M944" i="1"/>
  <c r="M945" i="1"/>
  <c r="M946" i="1"/>
  <c r="M947" i="1"/>
  <c r="N947" i="1" s="1"/>
  <c r="M948" i="1"/>
  <c r="N948" i="1" s="1"/>
  <c r="M949" i="1"/>
  <c r="N949" i="1" s="1"/>
  <c r="M950" i="1"/>
  <c r="M951" i="1"/>
  <c r="N951" i="1" s="1"/>
  <c r="M952" i="1"/>
  <c r="M953" i="1"/>
  <c r="M954" i="1"/>
  <c r="M955" i="1"/>
  <c r="M956" i="1"/>
  <c r="M957" i="1"/>
  <c r="M958" i="1"/>
  <c r="M959" i="1"/>
  <c r="N959" i="1" s="1"/>
  <c r="M960" i="1"/>
  <c r="N960" i="1" s="1"/>
  <c r="M961" i="1"/>
  <c r="M962" i="1"/>
  <c r="M963" i="1"/>
  <c r="N963" i="1" s="1"/>
  <c r="M964" i="1"/>
  <c r="N964" i="1" s="1"/>
  <c r="M965" i="1"/>
  <c r="N965" i="1" s="1"/>
  <c r="M966" i="1"/>
  <c r="N966" i="1" s="1"/>
  <c r="M967" i="1"/>
  <c r="N967" i="1" s="1"/>
  <c r="M968" i="1"/>
  <c r="N968" i="1" s="1"/>
  <c r="M969" i="1"/>
  <c r="M970" i="1"/>
  <c r="N970" i="1" s="1"/>
  <c r="M971" i="1"/>
  <c r="N971" i="1" s="1"/>
  <c r="M972" i="1"/>
  <c r="M973" i="1"/>
  <c r="M974" i="1"/>
  <c r="M975" i="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M989" i="1"/>
  <c r="M990" i="1"/>
  <c r="M991" i="1"/>
  <c r="M992" i="1"/>
  <c r="M993" i="1"/>
  <c r="M994" i="1"/>
  <c r="M995" i="1"/>
  <c r="N995" i="1" s="1"/>
  <c r="M996" i="1"/>
  <c r="N996" i="1" s="1"/>
  <c r="M997" i="1"/>
  <c r="N997" i="1" s="1"/>
  <c r="M998" i="1"/>
  <c r="N998" i="1" s="1"/>
  <c r="M999" i="1"/>
  <c r="N999" i="1" s="1"/>
  <c r="M1000" i="1"/>
  <c r="N1000" i="1" s="1"/>
  <c r="M1001" i="1"/>
  <c r="N1001" i="1" s="1"/>
  <c r="M2" i="1"/>
  <c r="N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3142E4-56AA-4193-BA6E-09BA4B21CBB8}" name="pom" type="4" refreshedVersion="0" background="1">
    <webPr xml="1" sourceData="1" url="C:\Users\hp\New folder\event-management-backend\pom.xml" htmlTables="1" htmlFormat="all"/>
  </connection>
  <connection id="2" xr16:uid="{FE8B96EA-0CE6-4B21-92E4-72D07427DBB9}" name="pom1" type="4" refreshedVersion="0" background="1">
    <webPr xml="1" sourceData="1" url="C:\Users\hp\New folder\event-management-backend\pom.xml" htmlTables="1" htmlFormat="all"/>
  </connection>
</connections>
</file>

<file path=xl/sharedStrings.xml><?xml version="1.0" encoding="utf-8"?>
<sst xmlns="http://schemas.openxmlformats.org/spreadsheetml/2006/main" count="9016" uniqueCount="1984">
  <si>
    <t>Emp Id</t>
  </si>
  <si>
    <t>Full Name</t>
  </si>
  <si>
    <t>Job Title</t>
  </si>
  <si>
    <t>Department</t>
  </si>
  <si>
    <t>Business Unit</t>
  </si>
  <si>
    <t>Gender</t>
  </si>
  <si>
    <t>Ethnicity</t>
  </si>
  <si>
    <t>Age</t>
  </si>
  <si>
    <t>Hire Date</t>
  </si>
  <si>
    <t>Annual Salary</t>
  </si>
  <si>
    <t>Country</t>
  </si>
  <si>
    <t>City</t>
  </si>
  <si>
    <t>E02387</t>
  </si>
  <si>
    <t>Emily Davis</t>
  </si>
  <si>
    <t>Sr. Manger</t>
  </si>
  <si>
    <t>IT</t>
  </si>
  <si>
    <t>Research &amp; Development</t>
  </si>
  <si>
    <t>Female</t>
  </si>
  <si>
    <t>Black</t>
  </si>
  <si>
    <t>United States</t>
  </si>
  <si>
    <t>Seattle</t>
  </si>
  <si>
    <t>E02572</t>
  </si>
  <si>
    <t>Luna Sanders</t>
  </si>
  <si>
    <t>Director</t>
  </si>
  <si>
    <t>Finance</t>
  </si>
  <si>
    <t>Speciality Products</t>
  </si>
  <si>
    <t>Caucasian</t>
  </si>
  <si>
    <t>Chicago</t>
  </si>
  <si>
    <t>E02832</t>
  </si>
  <si>
    <t>Penelope Jordan</t>
  </si>
  <si>
    <t>Computer Systems Manager</t>
  </si>
  <si>
    <t>Manufacturing</t>
  </si>
  <si>
    <t>E01639</t>
  </si>
  <si>
    <t>Austin Vo</t>
  </si>
  <si>
    <t>Sr. Analyst</t>
  </si>
  <si>
    <t>Male</t>
  </si>
  <si>
    <t>Asian</t>
  </si>
  <si>
    <t>Phoenix</t>
  </si>
  <si>
    <t>E01550</t>
  </si>
  <si>
    <t>Ruby Barnes</t>
  </si>
  <si>
    <t>Manager</t>
  </si>
  <si>
    <t>Corporate</t>
  </si>
  <si>
    <t>E04332</t>
  </si>
  <si>
    <t>Luke Martin</t>
  </si>
  <si>
    <t>Analyst</t>
  </si>
  <si>
    <t>Miami</t>
  </si>
  <si>
    <t>Experinace</t>
  </si>
  <si>
    <t>bonus</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</si>
  <si>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</si>
  <si>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</si>
  <si>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</si>
  <si>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</si>
  <si>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</si>
  <si>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</si>
  <si>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</si>
  <si>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</si>
  <si>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</si>
  <si>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</si>
  <si>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</si>
  <si>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</si>
  <si>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</si>
  <si>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</si>
  <si>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</si>
  <si>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E03496</t>
  </si>
  <si>
    <t>Robert Yang</t>
  </si>
  <si>
    <t>E00549</t>
  </si>
  <si>
    <t>Isabella Xi</t>
  </si>
  <si>
    <t>Vice President</t>
  </si>
  <si>
    <t>Marketing</t>
  </si>
  <si>
    <t>E00163</t>
  </si>
  <si>
    <t>Bella Powell</t>
  </si>
  <si>
    <t>E00884</t>
  </si>
  <si>
    <t>Camila Silva</t>
  </si>
  <si>
    <t>Latino</t>
  </si>
  <si>
    <t>E04116</t>
  </si>
  <si>
    <t>David Barnes</t>
  </si>
  <si>
    <t>Columbus</t>
  </si>
  <si>
    <t>E04732</t>
  </si>
  <si>
    <t>Eva Rivera</t>
  </si>
  <si>
    <t>Sales</t>
  </si>
  <si>
    <t>E00671</t>
  </si>
  <si>
    <t>Leonardo Dixon</t>
  </si>
  <si>
    <t>E02206</t>
  </si>
  <si>
    <t>Jose Henderson</t>
  </si>
  <si>
    <t>E00154</t>
  </si>
  <si>
    <t>Wyatt Chin</t>
  </si>
  <si>
    <t>E02594</t>
  </si>
  <si>
    <t>Ezekiel Kumar</t>
  </si>
  <si>
    <t>IT Coordinator</t>
  </si>
  <si>
    <t>E01994</t>
  </si>
  <si>
    <t>Angel Powell</t>
  </si>
  <si>
    <t>Analyst II</t>
  </si>
  <si>
    <t>E03247</t>
  </si>
  <si>
    <t>Caroline Jenkins</t>
  </si>
  <si>
    <t>E02074</t>
  </si>
  <si>
    <t>Nora Brown</t>
  </si>
  <si>
    <t>Enterprise Architect</t>
  </si>
  <si>
    <t>E01628</t>
  </si>
  <si>
    <t>Jackson Perry</t>
  </si>
  <si>
    <t>E04285</t>
  </si>
  <si>
    <t>Riley Padilla</t>
  </si>
  <si>
    <t>Technical Architect</t>
  </si>
  <si>
    <t>E03749</t>
  </si>
  <si>
    <t>Kennedy Foster</t>
  </si>
  <si>
    <t>E03574</t>
  </si>
  <si>
    <t>John Moore</t>
  </si>
  <si>
    <t>E00586</t>
  </si>
  <si>
    <t>Sadie Washington</t>
  </si>
  <si>
    <t>E03538</t>
  </si>
  <si>
    <t>Gabriel Holmes</t>
  </si>
  <si>
    <t>E02185</t>
  </si>
  <si>
    <t>Wyatt Rojas</t>
  </si>
  <si>
    <t>E03830</t>
  </si>
  <si>
    <t>Eva Coleman</t>
  </si>
  <si>
    <t>E03720</t>
  </si>
  <si>
    <t>Dominic Clark</t>
  </si>
  <si>
    <t>Quality Engineer</t>
  </si>
  <si>
    <t>E03025</t>
  </si>
  <si>
    <t>Lucy Alexander</t>
  </si>
  <si>
    <t>E04917</t>
  </si>
  <si>
    <t>Everleigh Washington</t>
  </si>
  <si>
    <t>HRIS Analyst</t>
  </si>
  <si>
    <t>E00415</t>
  </si>
  <si>
    <t>Leilani Butler</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</si>
  <si>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</si>
  <si>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</si>
  <si>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</si>
  <si>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</si>
  <si>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</si>
  <si>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</si>
  <si>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</si>
  <si>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</si>
  <si>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</si>
  <si>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</si>
  <si>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</si>
  <si>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</si>
  <si>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</si>
  <si>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</si>
  <si>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</si>
  <si>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</si>
  <si>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E04000</t>
  </si>
  <si>
    <t>Skylar Carrillo</t>
  </si>
  <si>
    <t>Engineering Manager</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</si>
  <si>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</si>
  <si>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</si>
  <si>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</si>
  <si>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</si>
  <si>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</si>
  <si>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</si>
  <si>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</si>
  <si>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</si>
  <si>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</si>
  <si>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</si>
  <si>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</si>
  <si>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</si>
  <si>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</si>
  <si>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</si>
  <si>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</si>
  <si>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</si>
  <si>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</si>
  <si>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</si>
  <si>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</si>
  <si>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E00665</t>
  </si>
  <si>
    <t>David Chu</t>
  </si>
  <si>
    <t>E00254</t>
  </si>
  <si>
    <t>Samuel Morales</t>
  </si>
  <si>
    <t>E02166</t>
  </si>
  <si>
    <t>John Soto</t>
  </si>
  <si>
    <t>E00935</t>
  </si>
  <si>
    <t>Joseph Martin</t>
  </si>
  <si>
    <t>E01525</t>
  </si>
  <si>
    <t>Jose Ross</t>
  </si>
  <si>
    <t>E00386</t>
  </si>
  <si>
    <t>Parker James</t>
  </si>
  <si>
    <t>E03383</t>
  </si>
  <si>
    <t>Lincoln Hall</t>
  </si>
  <si>
    <t>E01258</t>
  </si>
  <si>
    <t>Gabriel Brooks</t>
  </si>
  <si>
    <t>Network Engineer</t>
  </si>
  <si>
    <t>E04562</t>
  </si>
  <si>
    <t>Xavier Zheng</t>
  </si>
  <si>
    <t>Account Representative</t>
  </si>
  <si>
    <t>E02802</t>
  </si>
  <si>
    <t>Matthew Chau</t>
  </si>
  <si>
    <t>Sr. Business Partner</t>
  </si>
  <si>
    <t>E01427</t>
  </si>
  <si>
    <t>Mia Cheng</t>
  </si>
  <si>
    <t>E03890</t>
  </si>
  <si>
    <t>Nevaeh Jones</t>
  </si>
  <si>
    <t>E01194</t>
  </si>
  <si>
    <t>Samantha Adams</t>
  </si>
  <si>
    <t>Test Engineer</t>
  </si>
  <si>
    <t>E02875</t>
  </si>
  <si>
    <t>Madeline Shin</t>
  </si>
  <si>
    <t>E04959</t>
  </si>
  <si>
    <t>Noah King</t>
  </si>
  <si>
    <t>Development Engineer</t>
  </si>
  <si>
    <t>E01261</t>
  </si>
  <si>
    <t>Connor Simmons</t>
  </si>
  <si>
    <t>E03612</t>
  </si>
  <si>
    <t>Grayson Cooper</t>
  </si>
  <si>
    <t>E01388</t>
  </si>
  <si>
    <t>Ivy Soto</t>
  </si>
  <si>
    <t>E03875</t>
  </si>
  <si>
    <t>Aurora Simmons</t>
  </si>
  <si>
    <t>E04413</t>
  </si>
  <si>
    <t>Andrew Thomas</t>
  </si>
  <si>
    <t>E00691</t>
  </si>
  <si>
    <t>Ezekiel Desai</t>
  </si>
  <si>
    <t>E04735</t>
  </si>
  <si>
    <t>Nova Coleman</t>
  </si>
  <si>
    <t>System Administrator </t>
  </si>
  <si>
    <t>E02850</t>
  </si>
  <si>
    <t>Evelyn Dinh</t>
  </si>
  <si>
    <t>E03583</t>
  </si>
  <si>
    <t>Brooks Marquez</t>
  </si>
  <si>
    <t>E02017</t>
  </si>
  <si>
    <t>Connor Joseph</t>
  </si>
  <si>
    <t>E01642</t>
  </si>
  <si>
    <t>Mia Lam</t>
  </si>
  <si>
    <t>E04131</t>
  </si>
  <si>
    <t>Cora Rivera</t>
  </si>
  <si>
    <t>E02331</t>
  </si>
  <si>
    <t>Sophia Huynh</t>
  </si>
  <si>
    <t>E00417</t>
  </si>
  <si>
    <t>Athena Carrillo</t>
  </si>
  <si>
    <t>E04267</t>
  </si>
  <si>
    <t>Greyson Sanders</t>
  </si>
  <si>
    <t>E03061</t>
  </si>
  <si>
    <t>Vivian Lewis</t>
  </si>
  <si>
    <t>E04265</t>
  </si>
  <si>
    <t>Natalia Diaz</t>
  </si>
  <si>
    <t>E03042</t>
  </si>
  <si>
    <t>Ava Nelson</t>
  </si>
  <si>
    <t>Systems Analyst</t>
  </si>
  <si>
    <t>E03131</t>
  </si>
  <si>
    <t>Ezekiel Reed</t>
  </si>
  <si>
    <t>E00128</t>
  </si>
  <si>
    <t>Everleigh Espinoza</t>
  </si>
  <si>
    <t>E00306</t>
  </si>
  <si>
    <t>Mateo Williams</t>
  </si>
  <si>
    <t>E00170</t>
  </si>
  <si>
    <t>Hannah Nelson</t>
  </si>
  <si>
    <t>E01425</t>
  </si>
  <si>
    <t>Anthony Rogers</t>
  </si>
  <si>
    <t>E03567</t>
  </si>
  <si>
    <t>Silas Chavez</t>
  </si>
  <si>
    <t>E00957</t>
  </si>
  <si>
    <t>Genesis Perry</t>
  </si>
  <si>
    <t>E04458</t>
  </si>
  <si>
    <t>Alexander Bryant</t>
  </si>
  <si>
    <t>E00521</t>
  </si>
  <si>
    <t>Lily Carter</t>
  </si>
  <si>
    <t>Network Architect</t>
  </si>
  <si>
    <t>E01533</t>
  </si>
  <si>
    <t>Avery Bailey</t>
  </si>
  <si>
    <t>E02855</t>
  </si>
  <si>
    <t>Piper Cheng</t>
  </si>
  <si>
    <t>E00816</t>
  </si>
  <si>
    <t>Skylar Watson</t>
  </si>
  <si>
    <t>E04888</t>
  </si>
  <si>
    <t>Elijah Henry</t>
  </si>
  <si>
    <t>E03907</t>
  </si>
  <si>
    <t>Camila Watson</t>
  </si>
  <si>
    <t>Lucas Thomas</t>
  </si>
  <si>
    <t>E00431</t>
  </si>
  <si>
    <t>Skylar Doan</t>
  </si>
  <si>
    <t>E01501</t>
  </si>
  <si>
    <t>Hudson Liu</t>
  </si>
  <si>
    <t>E01141</t>
  </si>
  <si>
    <t>Gianna Williams</t>
  </si>
  <si>
    <t>E02942</t>
  </si>
  <si>
    <t>Daniel Richardson</t>
  </si>
  <si>
    <t>E04130</t>
  </si>
  <si>
    <t>Elias Figueroa</t>
  </si>
  <si>
    <t>E02848</t>
  </si>
  <si>
    <t>Emma Brooks</t>
  </si>
  <si>
    <t>Sr. Account Representative</t>
  </si>
  <si>
    <t>E00085</t>
  </si>
  <si>
    <t>Isla Wong</t>
  </si>
  <si>
    <t>E03956</t>
  </si>
  <si>
    <t>E03506</t>
  </si>
  <si>
    <t>Jaxson Mai</t>
  </si>
  <si>
    <t>E00568</t>
  </si>
  <si>
    <t>Ava Garza</t>
  </si>
  <si>
    <t>E00535</t>
  </si>
  <si>
    <t>Nathan Mendez</t>
  </si>
  <si>
    <t>E04630</t>
  </si>
  <si>
    <t>Maria Griffin</t>
  </si>
  <si>
    <t>E00874</t>
  </si>
  <si>
    <t>Alexander Choi</t>
  </si>
  <si>
    <t>E00941</t>
  </si>
  <si>
    <t>Sophie Ali</t>
  </si>
  <si>
    <t>E03446</t>
  </si>
  <si>
    <t>Julian Ross</t>
  </si>
  <si>
    <t>E01361</t>
  </si>
  <si>
    <t>Emma Hill</t>
  </si>
  <si>
    <t>E03719</t>
  </si>
  <si>
    <t>Jack Brown</t>
  </si>
  <si>
    <t>E02489</t>
  </si>
  <si>
    <t>Ethan Clark</t>
  </si>
  <si>
    <t>E03189</t>
  </si>
  <si>
    <t>Asher Jackson</t>
  </si>
  <si>
    <t>E02791</t>
  </si>
  <si>
    <t>Aubrey Romero</t>
  </si>
  <si>
    <t>E02333</t>
  </si>
  <si>
    <t>Jaxson Wright</t>
  </si>
  <si>
    <t>Service Desk Analyst</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</si>
  <si>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</si>
  <si>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</si>
  <si>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</si>
  <si>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</si>
  <si>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</si>
  <si>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</si>
  <si>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</si>
  <si>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</si>
  <si>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</si>
  <si>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</si>
  <si>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</si>
  <si>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</si>
  <si>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</si>
  <si>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</si>
  <si>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</si>
  <si>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</si>
  <si>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</si>
  <si>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</si>
  <si>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</si>
  <si>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E02121</t>
  </si>
  <si>
    <t>Levi Brown</t>
  </si>
  <si>
    <t>E01486</t>
  </si>
  <si>
    <t>Mason Cho</t>
  </si>
  <si>
    <t>E03027</t>
  </si>
  <si>
    <t>Elijah Watson</t>
  </si>
  <si>
    <t>E03689</t>
  </si>
  <si>
    <t>Wesley Gray</t>
  </si>
  <si>
    <t>E01286</t>
  </si>
  <si>
    <t>Mateo Mendez</t>
  </si>
  <si>
    <t>E00626</t>
  </si>
  <si>
    <t>Luna Simmons</t>
  </si>
  <si>
    <t>E04342</t>
  </si>
  <si>
    <t>Samantha Barnes</t>
  </si>
  <si>
    <t>E01291</t>
  </si>
  <si>
    <t>Thomas Aguilar</t>
  </si>
  <si>
    <t>E00917</t>
  </si>
  <si>
    <t>Skylar Bell</t>
  </si>
  <si>
    <t>E03864</t>
  </si>
  <si>
    <t>Ella Hunter</t>
  </si>
  <si>
    <t>E00488</t>
  </si>
  <si>
    <t>Emery Hunter</t>
  </si>
  <si>
    <t>E02227</t>
  </si>
  <si>
    <t>Sofia Parker</t>
  </si>
  <si>
    <t>E01970</t>
  </si>
  <si>
    <t>Vivian Barnes</t>
  </si>
  <si>
    <t>E02813</t>
  </si>
  <si>
    <t>Kai Chow</t>
  </si>
  <si>
    <t>E02031</t>
  </si>
  <si>
    <t>Melody Cooper</t>
  </si>
  <si>
    <t>E04871</t>
  </si>
  <si>
    <t>Liam Grant</t>
  </si>
  <si>
    <t>E01070</t>
  </si>
  <si>
    <t>Leonardo Martin</t>
  </si>
  <si>
    <t>E04359</t>
  </si>
  <si>
    <t>Greyson Lam</t>
  </si>
  <si>
    <t>E03268</t>
  </si>
  <si>
    <t>Emilia Rivera</t>
  </si>
  <si>
    <t>E04035</t>
  </si>
  <si>
    <t>Penelope Johnson</t>
  </si>
  <si>
    <t>E01221</t>
  </si>
  <si>
    <t>Eva Figueroa</t>
  </si>
  <si>
    <t>E00276</t>
  </si>
  <si>
    <t>Ezekiel Jordan</t>
  </si>
  <si>
    <t>E01263</t>
  </si>
  <si>
    <t>Adam Espinoza</t>
  </si>
  <si>
    <t>E03935</t>
  </si>
  <si>
    <t>Cora Jiang</t>
  </si>
  <si>
    <t>E00742</t>
  </si>
  <si>
    <t>Cooper Mitchell</t>
  </si>
  <si>
    <t>E01860</t>
  </si>
  <si>
    <t>Jack Edwards</t>
  </si>
  <si>
    <t>E02285</t>
  </si>
  <si>
    <t>Aria Xi</t>
  </si>
  <si>
    <t>E01921</t>
  </si>
  <si>
    <t>Sarah Daniels</t>
  </si>
  <si>
    <t>E00813</t>
  </si>
  <si>
    <t>Autumn Joseph</t>
  </si>
  <si>
    <t>E00870</t>
  </si>
  <si>
    <t>Evelyn Liang</t>
  </si>
  <si>
    <t>E00245</t>
  </si>
  <si>
    <t>Benjamin Delgado</t>
  </si>
  <si>
    <t>E00976</t>
  </si>
  <si>
    <t>Zoe Rodriguez</t>
  </si>
  <si>
    <t>E01807</t>
  </si>
  <si>
    <t>Cameron Evans</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</si>
  <si>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</si>
  <si>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</si>
  <si>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</si>
  <si>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</si>
  <si>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</si>
  <si>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</si>
  <si>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</si>
  <si>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</si>
  <si>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</si>
  <si>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</si>
  <si>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</si>
  <si>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</si>
  <si>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</si>
  <si>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</si>
  <si>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</si>
  <si>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</si>
  <si>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E01309</t>
  </si>
  <si>
    <t>Everleigh Jiang</t>
  </si>
  <si>
    <t>E02378</t>
  </si>
  <si>
    <t>Audrey Smith</t>
  </si>
  <si>
    <t>E04127</t>
  </si>
  <si>
    <t>Emery Acosta</t>
  </si>
  <si>
    <t>E02072</t>
  </si>
  <si>
    <t>Charles Robinson</t>
  </si>
  <si>
    <t>E00187</t>
  </si>
  <si>
    <t>Miles Mehta</t>
  </si>
  <si>
    <t>Ezra Simmons</t>
  </si>
  <si>
    <t>E00273</t>
  </si>
  <si>
    <t>David Owens</t>
  </si>
  <si>
    <t>Avery Yee</t>
  </si>
  <si>
    <t>E00825</t>
  </si>
  <si>
    <t>Anna Molina</t>
  </si>
  <si>
    <t>E04972</t>
  </si>
  <si>
    <t>Logan Bryant</t>
  </si>
  <si>
    <t>E03941</t>
  </si>
  <si>
    <t>Isla Han</t>
  </si>
  <si>
    <t>E02148</t>
  </si>
  <si>
    <t>Christopher Vega</t>
  </si>
  <si>
    <t>E04477</t>
  </si>
  <si>
    <t>Connor Grant</t>
  </si>
  <si>
    <t>E04348</t>
  </si>
  <si>
    <t>Natalia Owens</t>
  </si>
  <si>
    <t>E04222</t>
  </si>
  <si>
    <t>Quinn Xiong</t>
  </si>
  <si>
    <t>E04126</t>
  </si>
  <si>
    <t>Dominic Baker</t>
  </si>
  <si>
    <t>E01896</t>
  </si>
  <si>
    <t>Adam Nelson</t>
  </si>
  <si>
    <t>E03018</t>
  </si>
  <si>
    <t>Autumn Reed</t>
  </si>
  <si>
    <t>E03325</t>
  </si>
  <si>
    <t>Robert Edwards</t>
  </si>
  <si>
    <t>E01902</t>
  </si>
  <si>
    <t>Eleanor Li</t>
  </si>
  <si>
    <t>E01466</t>
  </si>
  <si>
    <t>Connor Vang</t>
  </si>
  <si>
    <t>E03474</t>
  </si>
  <si>
    <t>Violet Hall</t>
  </si>
  <si>
    <t>Solutions Architect</t>
  </si>
  <si>
    <t>E02744</t>
  </si>
  <si>
    <t>Dylan Padilla</t>
  </si>
  <si>
    <t>E00702</t>
  </si>
  <si>
    <t>Nathan Pham</t>
  </si>
  <si>
    <t>E03081</t>
  </si>
  <si>
    <t>Ayla Brown</t>
  </si>
  <si>
    <t>E01281</t>
  </si>
  <si>
    <t>Isaac Mitchell</t>
  </si>
  <si>
    <t>E01753</t>
  </si>
  <si>
    <t>Connor Fong</t>
  </si>
  <si>
    <t>E04072</t>
  </si>
  <si>
    <t>Emery Mitchell</t>
  </si>
  <si>
    <t>E00672</t>
  </si>
  <si>
    <t>Landon Luu</t>
  </si>
  <si>
    <t>E04419</t>
  </si>
  <si>
    <t>Sophia Ahmed</t>
  </si>
  <si>
    <t>E00467</t>
  </si>
  <si>
    <t>Sofia Dinh</t>
  </si>
  <si>
    <t>Piper Patterson</t>
  </si>
  <si>
    <t>E03292</t>
  </si>
  <si>
    <t>Cora Evans</t>
  </si>
  <si>
    <t>E04779</t>
  </si>
  <si>
    <t>Cameron Young</t>
  </si>
  <si>
    <t>E00501</t>
  </si>
  <si>
    <t>Melody Ho</t>
  </si>
  <si>
    <t>E01132</t>
  </si>
  <si>
    <t>Aiden Bryant</t>
  </si>
  <si>
    <t>E00556</t>
  </si>
  <si>
    <t>Grayson Walker</t>
  </si>
  <si>
    <t>E00311</t>
  </si>
  <si>
    <t>Scarlett Figueroa</t>
  </si>
  <si>
    <t>E04378</t>
  </si>
  <si>
    <t>E03251</t>
  </si>
  <si>
    <t>Ruby Medina</t>
  </si>
  <si>
    <t>E03908</t>
  </si>
  <si>
    <t>Miles Evans</t>
  </si>
  <si>
    <t>E01351</t>
  </si>
  <si>
    <t>Leo Owens</t>
  </si>
  <si>
    <t>E02681</t>
  </si>
  <si>
    <t>Caroline Owens</t>
  </si>
  <si>
    <t>E03807</t>
  </si>
  <si>
    <t>Kennedy Do</t>
  </si>
  <si>
    <t>E00422</t>
  </si>
  <si>
    <t>Jade Acosta</t>
  </si>
  <si>
    <t>E00265</t>
  </si>
  <si>
    <t>Mila Vasquez</t>
  </si>
  <si>
    <t>E04601</t>
  </si>
  <si>
    <t>Allison Ayala</t>
  </si>
  <si>
    <t>E02914</t>
  </si>
  <si>
    <t>Maria Wilson</t>
  </si>
  <si>
    <t>Everly Coleman</t>
  </si>
  <si>
    <t>E04290</t>
  </si>
  <si>
    <t>Hannah Gomez</t>
  </si>
  <si>
    <t>E03630</t>
  </si>
  <si>
    <t>Jacob Davis</t>
  </si>
  <si>
    <t>E03045</t>
  </si>
  <si>
    <t>Andrew Huynh</t>
  </si>
  <si>
    <t>E04877</t>
  </si>
  <si>
    <t>Samuel Vega</t>
  </si>
  <si>
    <t>E04590</t>
  </si>
  <si>
    <t>Isaac Sanders</t>
  </si>
  <si>
    <t>E01378</t>
  </si>
  <si>
    <t>Genesis Xiong</t>
  </si>
  <si>
    <t>E04224</t>
  </si>
  <si>
    <t>Lucas Ramos</t>
  </si>
  <si>
    <t>E03423</t>
  </si>
  <si>
    <t>Santiago f Gonzalez</t>
  </si>
  <si>
    <t>E01584</t>
  </si>
  <si>
    <t>Henry Zhu</t>
  </si>
  <si>
    <t>E00834</t>
  </si>
  <si>
    <t>Vivian Guzman</t>
  </si>
  <si>
    <t>E04571</t>
  </si>
  <si>
    <t>Hadley Contreras</t>
  </si>
  <si>
    <t>E00399</t>
  </si>
  <si>
    <t>Connor Walker</t>
  </si>
  <si>
    <t>E00836</t>
  </si>
  <si>
    <t>Addison Roberts</t>
  </si>
  <si>
    <t>E00360</t>
  </si>
  <si>
    <t>Dylan Thao</t>
  </si>
  <si>
    <t>E02861</t>
  </si>
  <si>
    <t>Daniel Perry</t>
  </si>
  <si>
    <t>E01357</t>
  </si>
  <si>
    <t>Paisley Hunter</t>
  </si>
  <si>
    <t>E04387</t>
  </si>
  <si>
    <t>Everleigh White</t>
  </si>
  <si>
    <t>E03591</t>
  </si>
  <si>
    <t>Piper Sun</t>
  </si>
  <si>
    <t>E03328</t>
  </si>
  <si>
    <t>Lucy Johnson</t>
  </si>
  <si>
    <t>E04937</t>
  </si>
  <si>
    <t>Ian Ngo</t>
  </si>
  <si>
    <t>E00515</t>
  </si>
  <si>
    <t>Joseph Vazquez</t>
  </si>
  <si>
    <t>E03255</t>
  </si>
  <si>
    <t>Jose Brown</t>
  </si>
  <si>
    <t>E01711</t>
  </si>
  <si>
    <t>Benjamin Ford</t>
  </si>
  <si>
    <t>Ivy Daniels</t>
  </si>
  <si>
    <t>E04749</t>
  </si>
  <si>
    <t>Caroline Phan</t>
  </si>
  <si>
    <t>E02023</t>
  </si>
  <si>
    <t>Maverick Mehta</t>
  </si>
  <si>
    <t>E03166</t>
  </si>
  <si>
    <t>Austin Edwards</t>
  </si>
  <si>
    <t>E02599</t>
  </si>
  <si>
    <t>Daniel Huang</t>
  </si>
  <si>
    <t>Mason Watson</t>
  </si>
  <si>
    <t>E02108</t>
  </si>
  <si>
    <t>Madeline Coleman</t>
  </si>
  <si>
    <t>E03685</t>
  </si>
  <si>
    <t>Silas Hunter</t>
  </si>
  <si>
    <t>E01089</t>
  </si>
  <si>
    <t>Nicholas Brooks</t>
  </si>
  <si>
    <t>E03988</t>
  </si>
  <si>
    <t>Dominic Thomas</t>
  </si>
  <si>
    <t>E00401</t>
  </si>
  <si>
    <t>Wesley Adams</t>
  </si>
  <si>
    <t>E02417</t>
  </si>
  <si>
    <t>Alice Young</t>
  </si>
  <si>
    <t>E00359</t>
  </si>
  <si>
    <t>Logan Carrillo</t>
  </si>
  <si>
    <t>E02044</t>
  </si>
  <si>
    <t>Caroline Alexander</t>
  </si>
  <si>
    <t>E01479</t>
  </si>
  <si>
    <t>Serenity Bailey</t>
  </si>
  <si>
    <t>IT Systems Architect</t>
  </si>
  <si>
    <t>E02769</t>
  </si>
  <si>
    <t>Eliza Adams</t>
  </si>
  <si>
    <t>E00553</t>
  </si>
  <si>
    <t>Isla Yoon</t>
  </si>
  <si>
    <t>E03540</t>
  </si>
  <si>
    <t>Emma Perry</t>
  </si>
  <si>
    <t>Riley Marquez</t>
  </si>
  <si>
    <t>Matthew Lim</t>
  </si>
  <si>
    <t>E01762</t>
  </si>
  <si>
    <t>Maya Ngo</t>
  </si>
  <si>
    <t>E04226</t>
  </si>
  <si>
    <t>Andrew Moore</t>
  </si>
  <si>
    <t>E04101</t>
  </si>
  <si>
    <t>Olivia Harris</t>
  </si>
  <si>
    <t>E01981</t>
  </si>
  <si>
    <t>Genesis Banks</t>
  </si>
  <si>
    <t>E02534</t>
  </si>
  <si>
    <t>Victoria Johnson</t>
  </si>
  <si>
    <t>E01238</t>
  </si>
  <si>
    <t>Eloise Griffin</t>
  </si>
  <si>
    <t>E01118</t>
  </si>
  <si>
    <t>Roman Yang</t>
  </si>
  <si>
    <t>E04308</t>
  </si>
  <si>
    <t>Kai Flores</t>
  </si>
  <si>
    <t>E02295</t>
  </si>
  <si>
    <t>Axel Jordan</t>
  </si>
  <si>
    <t>E04546</t>
  </si>
  <si>
    <t>Jade Hunter</t>
  </si>
  <si>
    <t>E04217</t>
  </si>
  <si>
    <t>Lydia Williams</t>
  </si>
  <si>
    <t>E04645</t>
  </si>
  <si>
    <t>Elias Ahmed</t>
  </si>
  <si>
    <t>E03880</t>
  </si>
  <si>
    <t>Samantha Woods</t>
  </si>
  <si>
    <t>E04517</t>
  </si>
  <si>
    <t>Amelia Choi</t>
  </si>
  <si>
    <t>E04639</t>
  </si>
  <si>
    <t>Luna Taylor</t>
  </si>
  <si>
    <t>E00465</t>
  </si>
  <si>
    <t>Dominic Parker</t>
  </si>
  <si>
    <t>E04927</t>
  </si>
  <si>
    <t>Ezekiel Bryant</t>
  </si>
  <si>
    <t>E03799</t>
  </si>
  <si>
    <t>Natalie Hwang</t>
  </si>
  <si>
    <t>E02633</t>
  </si>
  <si>
    <t>Allison Roberts</t>
  </si>
  <si>
    <t>E02965</t>
  </si>
  <si>
    <t>Andrew Do</t>
  </si>
  <si>
    <t>E04345</t>
  </si>
  <si>
    <t>Eliana Grant</t>
  </si>
  <si>
    <t>Gabriella Johnson</t>
  </si>
  <si>
    <t>E02943</t>
  </si>
  <si>
    <t>Bella Lopez</t>
  </si>
  <si>
    <t>E03461</t>
  </si>
  <si>
    <t>Nathan Lau</t>
  </si>
  <si>
    <t>E03490</t>
  </si>
  <si>
    <t>Henry Campos</t>
  </si>
  <si>
    <t>E04466</t>
  </si>
  <si>
    <t>Connor Bell</t>
  </si>
  <si>
    <t>E03226</t>
  </si>
  <si>
    <t>Angel Stewart</t>
  </si>
  <si>
    <t>E04607</t>
  </si>
  <si>
    <t>Landon Brown</t>
  </si>
  <si>
    <t>E02190</t>
  </si>
  <si>
    <t>Gabriel Carter</t>
  </si>
  <si>
    <t>E00747</t>
  </si>
  <si>
    <t>Leilani Baker</t>
  </si>
  <si>
    <t>E01416</t>
  </si>
  <si>
    <t>Hudson Thompson</t>
  </si>
  <si>
    <t>E01524</t>
  </si>
  <si>
    <t>Ian Miller</t>
  </si>
  <si>
    <t>E02801</t>
  </si>
  <si>
    <t>Santiago f Brooks</t>
  </si>
  <si>
    <t>E01952</t>
  </si>
  <si>
    <t>Everett Lee</t>
  </si>
  <si>
    <t>E00116</t>
  </si>
  <si>
    <t>Madelyn Mehta</t>
  </si>
  <si>
    <t>E00624</t>
  </si>
  <si>
    <t>William Watson</t>
  </si>
  <si>
    <t>E00218</t>
  </si>
  <si>
    <t>David Desai</t>
  </si>
  <si>
    <t>Grayson Brown</t>
  </si>
  <si>
    <t>E04925</t>
  </si>
  <si>
    <t>Athena Jordan</t>
  </si>
  <si>
    <t>E00403</t>
  </si>
  <si>
    <t>Liliana Soto</t>
  </si>
  <si>
    <t>Lincoln Reyes</t>
  </si>
  <si>
    <t>E04358</t>
  </si>
  <si>
    <t>Grayson Soto</t>
  </si>
  <si>
    <t>E04662</t>
  </si>
  <si>
    <t>Julia Morris</t>
  </si>
  <si>
    <t>E01496</t>
  </si>
  <si>
    <t>Ava Ortiz</t>
  </si>
  <si>
    <t>E03971</t>
  </si>
  <si>
    <t>Lillian Chen</t>
  </si>
  <si>
    <t>E03616</t>
  </si>
  <si>
    <t>Josiah Lewis</t>
  </si>
  <si>
    <t>E00153</t>
  </si>
  <si>
    <t>Claire Jones</t>
  </si>
  <si>
    <t>E02960</t>
  </si>
  <si>
    <t>Nova Hill</t>
  </si>
  <si>
    <t>E02140</t>
  </si>
  <si>
    <t>Naomi Zhao</t>
  </si>
  <si>
    <t>E03881</t>
  </si>
  <si>
    <t>Andrew Reed</t>
  </si>
  <si>
    <t>E02604</t>
  </si>
  <si>
    <t>Brooklyn Collins</t>
  </si>
  <si>
    <t>E00864</t>
  </si>
  <si>
    <t>Samantha Aguilar</t>
  </si>
  <si>
    <t>E03223</t>
  </si>
  <si>
    <t>Ethan Joseph</t>
  </si>
  <si>
    <t>E00364</t>
  </si>
  <si>
    <t>Matthew Howard</t>
  </si>
  <si>
    <t>Genesis Hunter</t>
  </si>
  <si>
    <t>E03371</t>
  </si>
  <si>
    <t>Jack Alexander</t>
  </si>
  <si>
    <t>E02531</t>
  </si>
  <si>
    <t>Jameson Foster</t>
  </si>
  <si>
    <t>E02468</t>
  </si>
  <si>
    <t>Ella Huang</t>
  </si>
  <si>
    <t>Liam Jordan</t>
  </si>
  <si>
    <t>E03697</t>
  </si>
  <si>
    <t>Isaac Woods</t>
  </si>
  <si>
    <t>E00593</t>
  </si>
  <si>
    <t>Luke Wilson</t>
  </si>
  <si>
    <t>E01103</t>
  </si>
  <si>
    <t>Lyla Alvarez</t>
  </si>
  <si>
    <t>E01958</t>
  </si>
  <si>
    <t>Angel Lin</t>
  </si>
  <si>
    <t>E01870</t>
  </si>
  <si>
    <t>Easton Moore</t>
  </si>
  <si>
    <t>E01167</t>
  </si>
  <si>
    <t>Kinsley Collins</t>
  </si>
  <si>
    <t>E00099</t>
  </si>
  <si>
    <t>Brooklyn Salazar</t>
  </si>
  <si>
    <t>E00044</t>
  </si>
  <si>
    <t>Scarlett Jenkins</t>
  </si>
  <si>
    <t>E00711</t>
  </si>
  <si>
    <t>Melody Chin</t>
  </si>
  <si>
    <t>E04795</t>
  </si>
  <si>
    <t>Eloise Alexander</t>
  </si>
  <si>
    <t>E03912</t>
  </si>
  <si>
    <t>Carter Turner</t>
  </si>
  <si>
    <t>E04756</t>
  </si>
  <si>
    <t>Aiden Le</t>
  </si>
  <si>
    <t>E03305</t>
  </si>
  <si>
    <t>Hannah King</t>
  </si>
  <si>
    <t>E00703</t>
  </si>
  <si>
    <t>Wesley Dominguez</t>
  </si>
  <si>
    <t>E00103</t>
  </si>
  <si>
    <t>Nora Park</t>
  </si>
  <si>
    <t>Ella Jenkins</t>
  </si>
  <si>
    <t>E02179</t>
  </si>
  <si>
    <t>Peyton Owens</t>
  </si>
  <si>
    <t>E04242</t>
  </si>
  <si>
    <t>Alice Lopez</t>
  </si>
  <si>
    <t>E03065</t>
  </si>
  <si>
    <t>Ezra Ortiz</t>
  </si>
  <si>
    <t>E03097</t>
  </si>
  <si>
    <t>Brooks Stewart</t>
  </si>
  <si>
    <t>E02088</t>
  </si>
  <si>
    <t>Skylar Ayala</t>
  </si>
  <si>
    <t>E03980</t>
  </si>
  <si>
    <t>Lydia Huynh</t>
  </si>
  <si>
    <t>E00824</t>
  </si>
  <si>
    <t>Everleigh Adams</t>
  </si>
  <si>
    <t>Layla Salazar</t>
  </si>
  <si>
    <t>E03113</t>
  </si>
  <si>
    <t>Willow Chen</t>
  </si>
  <si>
    <t>E01488</t>
  </si>
  <si>
    <t>Penelope Griffin</t>
  </si>
  <si>
    <t>E01787</t>
  </si>
  <si>
    <t>Lillian Romero</t>
  </si>
  <si>
    <t>E03550</t>
  </si>
  <si>
    <t>Stella Wu</t>
  </si>
  <si>
    <t>E01052</t>
  </si>
  <si>
    <t>Parker Vang</t>
  </si>
  <si>
    <t>E04799</t>
  </si>
  <si>
    <t>Mila Roberts</t>
  </si>
  <si>
    <t>E04128</t>
  </si>
  <si>
    <t>Jacob Doan</t>
  </si>
  <si>
    <t>E00013</t>
  </si>
  <si>
    <t>Raelynn Ma</t>
  </si>
  <si>
    <t>E03114</t>
  </si>
  <si>
    <t>Jameson Juarez</t>
  </si>
  <si>
    <t>E04004</t>
  </si>
  <si>
    <t>Everleigh Shah</t>
  </si>
  <si>
    <t>E04472</t>
  </si>
  <si>
    <t>Alexander Foster</t>
  </si>
  <si>
    <t>E00161</t>
  </si>
  <si>
    <t>Ryan Ha</t>
  </si>
  <si>
    <t>E04417</t>
  </si>
  <si>
    <t>Chloe Salazar</t>
  </si>
  <si>
    <t>E04536</t>
  </si>
  <si>
    <t>Layla Scott</t>
  </si>
  <si>
    <t>E02857</t>
  </si>
  <si>
    <t>Mason Jimenez</t>
  </si>
  <si>
    <t>E02856</t>
  </si>
  <si>
    <t>Amelia Kaur</t>
  </si>
  <si>
    <t>E00319</t>
  </si>
  <si>
    <t>Ezra Wilson</t>
  </si>
  <si>
    <t>E01090</t>
  </si>
  <si>
    <t>Jacob Cheng</t>
  </si>
  <si>
    <t>E04323</t>
  </si>
  <si>
    <t>Melody Valdez</t>
  </si>
  <si>
    <t>E02687</t>
  </si>
  <si>
    <t>Caroline Nelson</t>
  </si>
  <si>
    <t>E02748</t>
  </si>
  <si>
    <t>Genesis Zhu</t>
  </si>
  <si>
    <t>E01995</t>
  </si>
  <si>
    <t>Jonathan Ho</t>
  </si>
  <si>
    <t>E01714</t>
  </si>
  <si>
    <t>Savannah Park</t>
  </si>
  <si>
    <t>E04491</t>
  </si>
  <si>
    <t>Nathan Chan</t>
  </si>
  <si>
    <t>E01076</t>
  </si>
  <si>
    <t>Sofia Vu</t>
  </si>
  <si>
    <t>Ruby Choi</t>
  </si>
  <si>
    <t>E02843</t>
  </si>
  <si>
    <t>Lily Pena</t>
  </si>
  <si>
    <t>E03758</t>
  </si>
  <si>
    <t>Liam Zhang</t>
  </si>
  <si>
    <t>E00638</t>
  </si>
  <si>
    <t>David Simmons</t>
  </si>
  <si>
    <t>E03571</t>
  </si>
  <si>
    <t>Lincoln Henderson</t>
  </si>
  <si>
    <t>E01820</t>
  </si>
  <si>
    <t>Nathan Miller</t>
  </si>
  <si>
    <t>E02706</t>
  </si>
  <si>
    <t>Lucy Figueroa</t>
  </si>
  <si>
    <t>E02478</t>
  </si>
  <si>
    <t>Alexander Morris</t>
  </si>
  <si>
    <t>E04170</t>
  </si>
  <si>
    <t>Grayson Chin</t>
  </si>
  <si>
    <t>E00929</t>
  </si>
  <si>
    <t>Allison Espinoza</t>
  </si>
  <si>
    <t>Jameson Martin</t>
  </si>
  <si>
    <t>Valentina Davis</t>
  </si>
  <si>
    <t>E04938</t>
  </si>
  <si>
    <t>Brooklyn Daniels</t>
  </si>
  <si>
    <t>Everleigh Simmons</t>
  </si>
  <si>
    <t>E03947</t>
  </si>
  <si>
    <t>Logan Soto</t>
  </si>
  <si>
    <t>E04535</t>
  </si>
  <si>
    <t>Charlotte Vo</t>
  </si>
  <si>
    <t>E00380</t>
  </si>
  <si>
    <t>Alice Thompson</t>
  </si>
  <si>
    <t>E02628</t>
  </si>
  <si>
    <t>Nora Nelson</t>
  </si>
  <si>
    <t>E03578</t>
  </si>
  <si>
    <t>Maverick Li</t>
  </si>
  <si>
    <t>E03563</t>
  </si>
  <si>
    <t>Ian Barnes</t>
  </si>
  <si>
    <t>E02781</t>
  </si>
  <si>
    <t>Athena Vu</t>
  </si>
  <si>
    <t>E04739</t>
  </si>
  <si>
    <t>Ruby Washington</t>
  </si>
  <si>
    <t>E02665</t>
  </si>
  <si>
    <t>Bella Butler</t>
  </si>
  <si>
    <t>E04132</t>
  </si>
  <si>
    <t>Kinsley Henry</t>
  </si>
  <si>
    <t>Everett Khan</t>
  </si>
  <si>
    <t>E02012</t>
  </si>
  <si>
    <t>Anna Han</t>
  </si>
  <si>
    <t>E03750</t>
  </si>
  <si>
    <t>Jordan Cho</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</si>
  <si>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</si>
  <si>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</si>
  <si>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</si>
  <si>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</si>
  <si>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</si>
  <si>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</si>
  <si>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</si>
  <si>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</si>
  <si>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</si>
  <si>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</si>
  <si>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</si>
  <si>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</si>
  <si>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</si>
  <si>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</si>
  <si>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</si>
  <si>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</si>
  <si>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E04018</t>
  </si>
  <si>
    <t>Emery Ford</t>
  </si>
  <si>
    <t>E01591</t>
  </si>
  <si>
    <t>Paisley Trinh</t>
  </si>
  <si>
    <t>E04940</t>
  </si>
  <si>
    <t>Hudson Williams</t>
  </si>
  <si>
    <t>E03870</t>
  </si>
  <si>
    <t>Madeline Allen</t>
  </si>
  <si>
    <t>E01927</t>
  </si>
  <si>
    <t>Charles Moore</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</si>
  <si>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</si>
  <si>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</si>
  <si>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</si>
  <si>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</si>
  <si>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</si>
  <si>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</si>
  <si>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</si>
  <si>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</si>
  <si>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</si>
  <si>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</si>
  <si>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</si>
  <si>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</si>
  <si>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</si>
  <si>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</si>
  <si>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</si>
  <si>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</si>
  <si>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</si>
  <si>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</si>
  <si>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</si>
  <si>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</si>
  <si>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E04720</t>
  </si>
  <si>
    <t>Christopher Chung</t>
  </si>
  <si>
    <t>E01985</t>
  </si>
  <si>
    <t>Eliana Turner</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</si>
  <si>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</si>
  <si>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</si>
  <si>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</si>
  <si>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</si>
  <si>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</si>
  <si>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</si>
  <si>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</si>
  <si>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</si>
  <si>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</si>
  <si>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</si>
  <si>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</si>
  <si>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</si>
  <si>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</si>
  <si>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</si>
  <si>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</si>
  <si>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</si>
  <si>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E01363</t>
  </si>
  <si>
    <t>Ayla Daniels</t>
  </si>
  <si>
    <t>E02249</t>
  </si>
  <si>
    <t>Allison Daniels</t>
  </si>
  <si>
    <t>E02987</t>
  </si>
  <si>
    <t>Mateo Harris</t>
  </si>
  <si>
    <t>E03655</t>
  </si>
  <si>
    <t>Samantha Rogers</t>
  </si>
  <si>
    <t>E04048</t>
  </si>
  <si>
    <t>Julian Lee</t>
  </si>
  <si>
    <t>E03626</t>
  </si>
  <si>
    <t>Nicholas Avila</t>
  </si>
  <si>
    <t>Hailey Watson</t>
  </si>
  <si>
    <t>E02920</t>
  </si>
  <si>
    <t>Willow Woods</t>
  </si>
  <si>
    <t>E03220</t>
  </si>
  <si>
    <t>Alexander Gonzales</t>
  </si>
  <si>
    <t>E03968</t>
  </si>
  <si>
    <t>Joshua Chin</t>
  </si>
  <si>
    <t>E04299</t>
  </si>
  <si>
    <t>Paisley Hall</t>
  </si>
  <si>
    <t>E01150</t>
  </si>
  <si>
    <t>Allison Leung</t>
  </si>
  <si>
    <t>E03774</t>
  </si>
  <si>
    <t>Hannah Mejia</t>
  </si>
  <si>
    <t>E01877</t>
  </si>
  <si>
    <t>Abigail Garza</t>
  </si>
  <si>
    <t>E00440</t>
  </si>
  <si>
    <t>Adeline Thao</t>
  </si>
  <si>
    <t>E00145</t>
  </si>
  <si>
    <t>Kinsley Dixon</t>
  </si>
  <si>
    <t>E04150</t>
  </si>
  <si>
    <t>Natalia Vu</t>
  </si>
  <si>
    <t>E04247</t>
  </si>
  <si>
    <t>Camila Evans</t>
  </si>
  <si>
    <t>E02613</t>
  </si>
  <si>
    <t>Everly Lai</t>
  </si>
  <si>
    <t>E03648</t>
  </si>
  <si>
    <t>Vivian Hunter</t>
  </si>
  <si>
    <t>E03981</t>
  </si>
  <si>
    <t>Eliana Li</t>
  </si>
  <si>
    <t>E03262</t>
  </si>
  <si>
    <t>Logan Mitchell</t>
  </si>
  <si>
    <t>E02716</t>
  </si>
  <si>
    <t>Dominic Dinh</t>
  </si>
  <si>
    <t>Lucas Daniels</t>
  </si>
  <si>
    <t>E04123</t>
  </si>
  <si>
    <t>Andrew Holmes</t>
  </si>
  <si>
    <t>E03471</t>
  </si>
  <si>
    <t>Julia Sandoval</t>
  </si>
  <si>
    <t>E01966</t>
  </si>
  <si>
    <t>Thomas Williams</t>
  </si>
  <si>
    <t>Eli Reed</t>
  </si>
  <si>
    <t>E04766</t>
  </si>
  <si>
    <t>Lyla Yoon</t>
  </si>
  <si>
    <t>E01465</t>
  </si>
  <si>
    <t>Hannah White</t>
  </si>
  <si>
    <t>E04088</t>
  </si>
  <si>
    <t>Ezra Liang</t>
  </si>
  <si>
    <t>E03227</t>
  </si>
  <si>
    <t>Eli Richardson</t>
  </si>
  <si>
    <t>E00607</t>
  </si>
  <si>
    <t>Jameson Allen</t>
  </si>
  <si>
    <t>E02258</t>
  </si>
  <si>
    <t>Eliza Chen</t>
  </si>
  <si>
    <t>E03681</t>
  </si>
  <si>
    <t>Lyla Chen</t>
  </si>
  <si>
    <t>E02298</t>
  </si>
  <si>
    <t>Emily Doan</t>
  </si>
  <si>
    <t>E02440</t>
  </si>
  <si>
    <t>Grayson Turner</t>
  </si>
  <si>
    <t>E03579</t>
  </si>
  <si>
    <t>Robert Zhang</t>
  </si>
  <si>
    <t>Claire Adams</t>
  </si>
  <si>
    <t>E00810</t>
  </si>
  <si>
    <t>Hunter Nunez</t>
  </si>
  <si>
    <t>E02798</t>
  </si>
  <si>
    <t>Charles Henderson</t>
  </si>
  <si>
    <t>E04542</t>
  </si>
  <si>
    <t>Camila Cortez</t>
  </si>
  <si>
    <t>E02818</t>
  </si>
  <si>
    <t>Aaron Garza</t>
  </si>
  <si>
    <t>E02907</t>
  </si>
  <si>
    <t>Jose Singh</t>
  </si>
  <si>
    <t>E00023</t>
  </si>
  <si>
    <t>Gabriel Joseph</t>
  </si>
  <si>
    <t>E01429</t>
  </si>
  <si>
    <t>Dylan Wilson</t>
  </si>
  <si>
    <t>Samuel Bailey</t>
  </si>
  <si>
    <t>Benjamin Ramirez</t>
  </si>
  <si>
    <t>E03834</t>
  </si>
  <si>
    <t>Anthony Carter</t>
  </si>
  <si>
    <t>E02923</t>
  </si>
  <si>
    <t>Ethan Tang</t>
  </si>
  <si>
    <t>E02642</t>
  </si>
  <si>
    <t>Sebastian Rogers</t>
  </si>
  <si>
    <t>E00981</t>
  </si>
  <si>
    <t>Miles Thao</t>
  </si>
  <si>
    <t>E04547</t>
  </si>
  <si>
    <t>Avery Grant</t>
  </si>
  <si>
    <t>E04484</t>
  </si>
  <si>
    <t>Vivian Thao</t>
  </si>
  <si>
    <t>E01209</t>
  </si>
  <si>
    <t>Jayden Williams</t>
  </si>
  <si>
    <t>E02024</t>
  </si>
  <si>
    <t>Amelia Bell</t>
  </si>
  <si>
    <t>E02427</t>
  </si>
  <si>
    <t>Addison Mehta</t>
  </si>
  <si>
    <t>Alexander Jackson</t>
  </si>
  <si>
    <t>E03248</t>
  </si>
  <si>
    <t>Lyla Stewart</t>
  </si>
  <si>
    <t>E04444</t>
  </si>
  <si>
    <t>Brooklyn Ruiz</t>
  </si>
  <si>
    <t>E02307</t>
  </si>
  <si>
    <t>Skylar Evans</t>
  </si>
  <si>
    <t>E02375</t>
  </si>
  <si>
    <t>Lincoln Huynh</t>
  </si>
  <si>
    <t>E02276</t>
  </si>
  <si>
    <t>Hazel Griffin</t>
  </si>
  <si>
    <t>E00503</t>
  </si>
  <si>
    <t>Leah Patterson</t>
  </si>
  <si>
    <t>E00676</t>
  </si>
  <si>
    <t>Isaac Yoon</t>
  </si>
  <si>
    <t>E02005</t>
  </si>
  <si>
    <t>Isabella Bui</t>
  </si>
  <si>
    <t>E00749</t>
  </si>
  <si>
    <t>Valentina Moua</t>
  </si>
  <si>
    <t>E01413</t>
  </si>
  <si>
    <t>E03928</t>
  </si>
  <si>
    <t>Miles Dang</t>
  </si>
  <si>
    <t>E04109</t>
  </si>
  <si>
    <t>Leah Bryant</t>
  </si>
  <si>
    <t>E03994</t>
  </si>
  <si>
    <t>Henry Jung</t>
  </si>
  <si>
    <t>E00639</t>
  </si>
  <si>
    <t>Benjamin Mai</t>
  </si>
  <si>
    <t>E00608</t>
  </si>
  <si>
    <t>E02732</t>
  </si>
  <si>
    <t>Alice Tran</t>
  </si>
  <si>
    <t>Liam Sanders</t>
  </si>
  <si>
    <t>E00412</t>
  </si>
  <si>
    <t>Ezra Banks</t>
  </si>
  <si>
    <t>E01844</t>
  </si>
  <si>
    <t>Jayden Kang</t>
  </si>
  <si>
    <t>E00667</t>
  </si>
  <si>
    <t>Skylar Shah</t>
  </si>
  <si>
    <t>E00287</t>
  </si>
  <si>
    <t>Luca Nelson</t>
  </si>
  <si>
    <t>E02235</t>
  </si>
  <si>
    <t>Riley Ramirez</t>
  </si>
  <si>
    <t>Kayden Jordan</t>
  </si>
  <si>
    <t>E01188</t>
  </si>
  <si>
    <t>Alexander James</t>
  </si>
  <si>
    <t>E03289</t>
  </si>
  <si>
    <t>Christopher Lam</t>
  </si>
  <si>
    <t>E01947</t>
  </si>
  <si>
    <t>Sophie Owens</t>
  </si>
  <si>
    <t>E04249</t>
  </si>
  <si>
    <t>Hadley Dang</t>
  </si>
  <si>
    <t>Ethan Mehta</t>
  </si>
  <si>
    <t>Madison Her</t>
  </si>
  <si>
    <t>E04363</t>
  </si>
  <si>
    <t>Savannah Singh</t>
  </si>
  <si>
    <t>E04920</t>
  </si>
  <si>
    <t>Nevaeh Hsu</t>
  </si>
  <si>
    <t>E03866</t>
  </si>
  <si>
    <t>Jordan Zhu</t>
  </si>
  <si>
    <t>E04095</t>
  </si>
  <si>
    <t>Sadie Patterson</t>
  </si>
  <si>
    <t>E04079</t>
  </si>
  <si>
    <t>Christopher Butler</t>
  </si>
  <si>
    <t>E02259</t>
  </si>
  <si>
    <t>Emily Lau</t>
  </si>
  <si>
    <t>Sophie Oh</t>
  </si>
  <si>
    <t>E01834</t>
  </si>
  <si>
    <t>Chloe Allen</t>
  </si>
  <si>
    <t>E03124</t>
  </si>
  <si>
    <t>Caleb Nelson</t>
  </si>
  <si>
    <t>E01898</t>
  </si>
  <si>
    <t>Oliver Moua</t>
  </si>
  <si>
    <t>E03910</t>
  </si>
  <si>
    <t>Nova Hsu</t>
  </si>
  <si>
    <t>E01832</t>
  </si>
  <si>
    <t>Ezra Singh</t>
  </si>
  <si>
    <t>E02391</t>
  </si>
  <si>
    <t>Piper Ramos</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</si>
  <si>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</si>
  <si>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</si>
  <si>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</si>
  <si>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</si>
  <si>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</si>
  <si>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</si>
  <si>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</si>
  <si>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</si>
  <si>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</si>
  <si>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</si>
  <si>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</si>
  <si>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</si>
  <si>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</si>
  <si>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</si>
  <si>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</si>
  <si>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</si>
  <si>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E01883</t>
  </si>
  <si>
    <t>Olivia Gray</t>
  </si>
  <si>
    <t>E00369</t>
  </si>
  <si>
    <t>Genesis Woods</t>
  </si>
  <si>
    <t>E03278</t>
  </si>
  <si>
    <t>Nevaeh James</t>
  </si>
  <si>
    <t>E02492</t>
  </si>
  <si>
    <t>Parker Sandoval</t>
  </si>
  <si>
    <t>E03055</t>
  </si>
  <si>
    <t>Austin Rojas</t>
  </si>
  <si>
    <t>E00717</t>
  </si>
  <si>
    <t>Axel Santos</t>
  </si>
  <si>
    <t>E04637</t>
  </si>
  <si>
    <t>Samuel Song</t>
  </si>
  <si>
    <t>E00340</t>
  </si>
  <si>
    <t>Eliana Allen</t>
  </si>
  <si>
    <t>E04751</t>
  </si>
  <si>
    <t>Grayson James</t>
  </si>
  <si>
    <t>E01111</t>
  </si>
  <si>
    <t>Santiago f Moua</t>
  </si>
  <si>
    <t>E03149</t>
  </si>
  <si>
    <t>Layla Collins</t>
  </si>
  <si>
    <t>E00952</t>
  </si>
  <si>
    <t>Jaxon Powell</t>
  </si>
  <si>
    <t>E04380</t>
  </si>
  <si>
    <t>Naomi Washington</t>
  </si>
  <si>
    <t>Ryan Holmes</t>
  </si>
  <si>
    <t>E04994</t>
  </si>
  <si>
    <t>Bella Holmes</t>
  </si>
  <si>
    <t>E03595</t>
  </si>
  <si>
    <t>Christopher Howard</t>
  </si>
  <si>
    <t>E04464</t>
  </si>
  <si>
    <t>Cooper Yoon</t>
  </si>
  <si>
    <t>E02135</t>
  </si>
  <si>
    <t>John Delgado</t>
  </si>
  <si>
    <t>E01684</t>
  </si>
  <si>
    <t>Jaxson Liang</t>
  </si>
  <si>
    <t>E03362</t>
  </si>
  <si>
    <t>Lily Henderson</t>
  </si>
  <si>
    <t>E01108</t>
  </si>
  <si>
    <t>Hannah Martinez</t>
  </si>
  <si>
    <t>E02217</t>
  </si>
  <si>
    <t>William Phillips</t>
  </si>
  <si>
    <t>E03795</t>
  </si>
  <si>
    <t>Hazel Young</t>
  </si>
  <si>
    <t>E01582</t>
  </si>
  <si>
    <t>Elijah Coleman</t>
  </si>
  <si>
    <t>E04872</t>
  </si>
  <si>
    <t>Isaac Stewart</t>
  </si>
  <si>
    <t>E01337</t>
  </si>
  <si>
    <t>Andrew Coleman</t>
  </si>
  <si>
    <t>E03637</t>
  </si>
  <si>
    <t>Landon Thao</t>
  </si>
  <si>
    <t>E03455</t>
  </si>
  <si>
    <t>Hadley Ford</t>
  </si>
  <si>
    <t>E03354</t>
  </si>
  <si>
    <t>Austin Brown</t>
  </si>
  <si>
    <t>E02274</t>
  </si>
  <si>
    <t>Isabella Bailey</t>
  </si>
  <si>
    <t>E00480</t>
  </si>
  <si>
    <t>Hadley Yee</t>
  </si>
  <si>
    <t>E00203</t>
  </si>
  <si>
    <t>Julia Doan</t>
  </si>
  <si>
    <t>E00647</t>
  </si>
  <si>
    <t>Dylan Ali</t>
  </si>
  <si>
    <t>E03296</t>
  </si>
  <si>
    <t>Eloise Trinh</t>
  </si>
  <si>
    <t>Emily Gupta</t>
  </si>
  <si>
    <t>E02522</t>
  </si>
  <si>
    <t>Silas Rivera</t>
  </si>
  <si>
    <t>E00459</t>
  </si>
  <si>
    <t>Jackson Jordan</t>
  </si>
  <si>
    <t>E03007</t>
  </si>
  <si>
    <t>Isaac Joseph</t>
  </si>
  <si>
    <t>Leilani Thao</t>
  </si>
  <si>
    <t>E03863</t>
  </si>
  <si>
    <t>Madeline Watson</t>
  </si>
  <si>
    <t>E02710</t>
  </si>
  <si>
    <t>Silas Huang</t>
  </si>
  <si>
    <t>E01895</t>
  </si>
  <si>
    <t>Peyton Walker</t>
  </si>
  <si>
    <t>E01339</t>
  </si>
  <si>
    <t>Jeremiah Hernandez</t>
  </si>
  <si>
    <t>E02938</t>
  </si>
  <si>
    <t>Jace Washington</t>
  </si>
  <si>
    <t>E03379</t>
  </si>
  <si>
    <t>Landon Kim</t>
  </si>
  <si>
    <t>E02153</t>
  </si>
  <si>
    <t>Peyton Vasquez</t>
  </si>
  <si>
    <t>E00994</t>
  </si>
  <si>
    <t>Charlotte Baker</t>
  </si>
  <si>
    <t>E00869</t>
  </si>
  <si>
    <t>Nova Lin</t>
  </si>
  <si>
    <t>E00538</t>
  </si>
  <si>
    <t>Caleb Xiong</t>
  </si>
  <si>
    <t>E01415</t>
  </si>
  <si>
    <t>Henry Green</t>
  </si>
  <si>
    <t>Madelyn Chan</t>
  </si>
  <si>
    <t>E00225</t>
  </si>
  <si>
    <t>Angel Delgado</t>
  </si>
  <si>
    <t>E04978</t>
  </si>
  <si>
    <t>Peyton Harris</t>
  </si>
  <si>
    <t>E00880</t>
  </si>
  <si>
    <t>Grace Carter</t>
  </si>
  <si>
    <t>E04335</t>
  </si>
  <si>
    <t>Parker Allen</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</si>
  <si>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</si>
  <si>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</si>
  <si>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</si>
  <si>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</si>
  <si>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</si>
  <si>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</si>
  <si>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</si>
  <si>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</si>
  <si>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</si>
  <si>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</si>
  <si>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</si>
  <si>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</si>
  <si>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</si>
  <si>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</si>
  <si>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</si>
  <si>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</si>
  <si>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</si>
  <si>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</si>
  <si>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E00640</t>
  </si>
  <si>
    <t>Paisley Bryant</t>
  </si>
  <si>
    <t>E03412</t>
  </si>
  <si>
    <t>Joshua Martin</t>
  </si>
  <si>
    <t>E00646</t>
  </si>
  <si>
    <t>E03580</t>
  </si>
  <si>
    <t>Maverick Medina</t>
  </si>
  <si>
    <t>Isaac Han</t>
  </si>
  <si>
    <t>E01749</t>
  </si>
  <si>
    <t>Nathan Lee</t>
  </si>
  <si>
    <t>E01338</t>
  </si>
  <si>
    <t>Jaxson Coleman</t>
  </si>
  <si>
    <t>E03000</t>
  </si>
  <si>
    <t>Hailey Hong</t>
  </si>
  <si>
    <t>E02684</t>
  </si>
  <si>
    <t>Aaron Maldonado</t>
  </si>
  <si>
    <t>E03168</t>
  </si>
  <si>
    <t>Nora Le</t>
  </si>
  <si>
    <t>E00758</t>
  </si>
  <si>
    <t>Alice Roberts</t>
  </si>
  <si>
    <t>E03691</t>
  </si>
  <si>
    <t>Colton Garcia</t>
  </si>
  <si>
    <t>Stella Lai</t>
  </si>
  <si>
    <t>E04415</t>
  </si>
  <si>
    <t>Leonardo Luong</t>
  </si>
  <si>
    <t>Nicholas Wong</t>
  </si>
  <si>
    <t>E00282</t>
  </si>
  <si>
    <t>Jeremiah Castillo</t>
  </si>
  <si>
    <t>E00559</t>
  </si>
  <si>
    <t>Penelope Silva</t>
  </si>
  <si>
    <t>E02558</t>
  </si>
  <si>
    <t>Jose Richardson</t>
  </si>
  <si>
    <t>E00956</t>
  </si>
  <si>
    <t>Eleanor Chau</t>
  </si>
  <si>
    <t>E00126</t>
  </si>
  <si>
    <t>Isabella Scott</t>
  </si>
  <si>
    <t>E00481</t>
  </si>
  <si>
    <t>Jameson Nelson</t>
  </si>
  <si>
    <t>E02833</t>
  </si>
  <si>
    <t>Adrian Fernandez</t>
  </si>
  <si>
    <t>E03902</t>
  </si>
  <si>
    <t>Madison Hunter</t>
  </si>
  <si>
    <t>E02310</t>
  </si>
  <si>
    <t>Jordan Phillips</t>
  </si>
  <si>
    <t>Wesley King</t>
  </si>
  <si>
    <t>E00682</t>
  </si>
  <si>
    <t>Sofia Fernandez</t>
  </si>
  <si>
    <t>Maverick Figueroa</t>
  </si>
  <si>
    <t>E04598</t>
  </si>
  <si>
    <t>Violet Garcia</t>
  </si>
  <si>
    <t>Aaliyah Mai</t>
  </si>
  <si>
    <t>E00156</t>
  </si>
  <si>
    <t>Madelyn Scott</t>
  </si>
  <si>
    <t>Dylan Chin</t>
  </si>
  <si>
    <t>E00005</t>
  </si>
  <si>
    <t>Riley Washington</t>
  </si>
  <si>
    <t>E04354</t>
  </si>
  <si>
    <t>Raelynn Rios</t>
  </si>
  <si>
    <t>E01578</t>
  </si>
  <si>
    <t>Anthony Hong</t>
  </si>
  <si>
    <t>E03058</t>
  </si>
  <si>
    <t>Robert Wright</t>
  </si>
  <si>
    <t>E04762</t>
  </si>
  <si>
    <t>Audrey Richardson</t>
  </si>
  <si>
    <t>E01148</t>
  </si>
  <si>
    <t>Scarlett Kumar</t>
  </si>
  <si>
    <t>E03094</t>
  </si>
  <si>
    <t>Wesley Young</t>
  </si>
  <si>
    <t>E04398</t>
  </si>
  <si>
    <t>Oliver Yang</t>
  </si>
  <si>
    <t>E03545</t>
  </si>
  <si>
    <t>Sofia Cheng</t>
  </si>
  <si>
    <t>E04105</t>
  </si>
  <si>
    <t>Theodore Dinh</t>
  </si>
  <si>
    <t>China</t>
  </si>
  <si>
    <t>Chongqing</t>
  </si>
  <si>
    <t>E00644</t>
  </si>
  <si>
    <t>Joshua Gupta</t>
  </si>
  <si>
    <t>E04239</t>
  </si>
  <si>
    <t>Everleigh Ng</t>
  </si>
  <si>
    <t>Shanghai</t>
  </si>
  <si>
    <t>E04625</t>
  </si>
  <si>
    <t>Adam Dang</t>
  </si>
  <si>
    <t>E02071</t>
  </si>
  <si>
    <t>Mateo Her</t>
  </si>
  <si>
    <t>E03343</t>
  </si>
  <si>
    <t>Carson Lu</t>
  </si>
  <si>
    <t>Beijing</t>
  </si>
  <si>
    <t>E00304</t>
  </si>
  <si>
    <t>Dylan Choi</t>
  </si>
  <si>
    <t>E03549</t>
  </si>
  <si>
    <t>Mateo Vu</t>
  </si>
  <si>
    <t>E04152</t>
  </si>
  <si>
    <t>Adeline Huang</t>
  </si>
  <si>
    <t>Chengdu</t>
  </si>
  <si>
    <t>E01754</t>
  </si>
  <si>
    <t>Owen Lam</t>
  </si>
  <si>
    <t>E04600</t>
  </si>
  <si>
    <t>William Vu</t>
  </si>
  <si>
    <t>E02862</t>
  </si>
  <si>
    <t>Peyton Huang</t>
  </si>
  <si>
    <t>E00716</t>
  </si>
  <si>
    <t>John Chow</t>
  </si>
  <si>
    <t>E04474</t>
  </si>
  <si>
    <t>Mila Hong</t>
  </si>
  <si>
    <t>E03417</t>
  </si>
  <si>
    <t>Benjamin Moua</t>
  </si>
  <si>
    <t>E01516</t>
  </si>
  <si>
    <t>Willow Mai</t>
  </si>
  <si>
    <t>E01234</t>
  </si>
  <si>
    <t>Jack Cheng</t>
  </si>
  <si>
    <t>Jack Huynh</t>
  </si>
  <si>
    <t>E00595</t>
  </si>
  <si>
    <t>Everly Chow</t>
  </si>
  <si>
    <t>E04568</t>
  </si>
  <si>
    <t>E00443</t>
  </si>
  <si>
    <t>Nolan Bui</t>
  </si>
  <si>
    <t>E03816</t>
  </si>
  <si>
    <t>Leilani Chow</t>
  </si>
  <si>
    <t>E03047</t>
  </si>
  <si>
    <t>Gabriella Gupta</t>
  </si>
  <si>
    <t>E04903</t>
  </si>
  <si>
    <t>Skylar Liu</t>
  </si>
  <si>
    <t>E02872</t>
  </si>
  <si>
    <t>Liam Jung</t>
  </si>
  <si>
    <t>Elena Vang</t>
  </si>
  <si>
    <t>E04769</t>
  </si>
  <si>
    <t>Mila Leung</t>
  </si>
  <si>
    <t>E00527</t>
  </si>
  <si>
    <t>Mateo Chu</t>
  </si>
  <si>
    <t>E01095</t>
  </si>
  <si>
    <t>Isla Lai</t>
  </si>
  <si>
    <t>E03849</t>
  </si>
  <si>
    <t>Evelyn Jung</t>
  </si>
  <si>
    <t>E03737</t>
  </si>
  <si>
    <t>Kennedy Rahman</t>
  </si>
  <si>
    <t>E02939</t>
  </si>
  <si>
    <t>Julian Fong</t>
  </si>
  <si>
    <t>Nevaeh Kang</t>
  </si>
  <si>
    <t>E00130</t>
  </si>
  <si>
    <t>Paisley Kang</t>
  </si>
  <si>
    <t>E02094</t>
  </si>
  <si>
    <t>Matthew Gupta</t>
  </si>
  <si>
    <t>E04682</t>
  </si>
  <si>
    <t>Colton Thao</t>
  </si>
  <si>
    <t>Elias Zhang</t>
  </si>
  <si>
    <t>E04449</t>
  </si>
  <si>
    <t>Miles Hsu</t>
  </si>
  <si>
    <t>E02283</t>
  </si>
  <si>
    <t>Jaxon Park</t>
  </si>
  <si>
    <t>E03394</t>
  </si>
  <si>
    <t>Joseph Ly</t>
  </si>
  <si>
    <t>E04618</t>
  </si>
  <si>
    <t>Mason Zhao</t>
  </si>
  <si>
    <t>E01546</t>
  </si>
  <si>
    <t>Maria Hong</t>
  </si>
  <si>
    <t>E01631</t>
  </si>
  <si>
    <t>Leilani Yee</t>
  </si>
  <si>
    <t>E03269</t>
  </si>
  <si>
    <t>Charlotte Chu</t>
  </si>
  <si>
    <t>E01037</t>
  </si>
  <si>
    <t>Jeremiah Chu</t>
  </si>
  <si>
    <t>Miles Cho</t>
  </si>
  <si>
    <t>E03560</t>
  </si>
  <si>
    <t>Ayla Ng</t>
  </si>
  <si>
    <t>E00769</t>
  </si>
  <si>
    <t>Jose Kang</t>
  </si>
  <si>
    <t>E01002</t>
  </si>
  <si>
    <t>Elias Ali</t>
  </si>
  <si>
    <t>E00752</t>
  </si>
  <si>
    <t>Luna Liu</t>
  </si>
  <si>
    <t>E02761</t>
  </si>
  <si>
    <t>Luca Duong</t>
  </si>
  <si>
    <t>E01986</t>
  </si>
  <si>
    <t>Wesley Sharma</t>
  </si>
  <si>
    <t>E01484</t>
  </si>
  <si>
    <t>Anna Zhu</t>
  </si>
  <si>
    <t>E04802</t>
  </si>
  <si>
    <t>Lucy Fong</t>
  </si>
  <si>
    <t>E03252</t>
  </si>
  <si>
    <t>James Bui</t>
  </si>
  <si>
    <t>E03547</t>
  </si>
  <si>
    <t>Owen Han</t>
  </si>
  <si>
    <t>E01687</t>
  </si>
  <si>
    <t>Luke Mai</t>
  </si>
  <si>
    <t>E04890</t>
  </si>
  <si>
    <t>Eleanor Chan</t>
  </si>
  <si>
    <t>E04112</t>
  </si>
  <si>
    <t>Axel Chu</t>
  </si>
  <si>
    <t>E01403</t>
  </si>
  <si>
    <t>Xavier Park</t>
  </si>
  <si>
    <t>E04136</t>
  </si>
  <si>
    <t>Mason Cao</t>
  </si>
  <si>
    <t>E02944</t>
  </si>
  <si>
    <t>Joshua Fong</t>
  </si>
  <si>
    <t>E03300</t>
  </si>
  <si>
    <t>Maria Chin</t>
  </si>
  <si>
    <t>E02252</t>
  </si>
  <si>
    <t>Lillian Park</t>
  </si>
  <si>
    <t>E03096</t>
  </si>
  <si>
    <t>Kennedy Zhang</t>
  </si>
  <si>
    <t>E04800</t>
  </si>
  <si>
    <t>Eli Han</t>
  </si>
  <si>
    <t>E02838</t>
  </si>
  <si>
    <t>Julia Pham</t>
  </si>
  <si>
    <t>E02980</t>
  </si>
  <si>
    <t>Hailey Shin</t>
  </si>
  <si>
    <t>E01638</t>
  </si>
  <si>
    <t>Maria He</t>
  </si>
  <si>
    <t>E03419</t>
  </si>
  <si>
    <t>Jade Yi</t>
  </si>
  <si>
    <t>E02038</t>
  </si>
  <si>
    <t>Ellie Chung</t>
  </si>
  <si>
    <t>E01116</t>
  </si>
  <si>
    <t>Jaxon Tran</t>
  </si>
  <si>
    <t>E00365</t>
  </si>
  <si>
    <t>Jonathan Patel</t>
  </si>
  <si>
    <t>E04567</t>
  </si>
  <si>
    <t>Madeline Hoang</t>
  </si>
  <si>
    <t>E03167</t>
  </si>
  <si>
    <t>Luke Zheng</t>
  </si>
  <si>
    <t>E03347</t>
  </si>
  <si>
    <t>Rylee Dinh</t>
  </si>
  <si>
    <t>E04816</t>
  </si>
  <si>
    <t>Jace Zhang</t>
  </si>
  <si>
    <t>E00432</t>
  </si>
  <si>
    <t>Eli Gupta</t>
  </si>
  <si>
    <t>E02770</t>
  </si>
  <si>
    <t>Liliana Do</t>
  </si>
  <si>
    <t>E01977</t>
  </si>
  <si>
    <t>Raelynn Gupta</t>
  </si>
  <si>
    <t>E00207</t>
  </si>
  <si>
    <t>Hailey Lai</t>
  </si>
  <si>
    <t>E02652</t>
  </si>
  <si>
    <t>Nathan Sun</t>
  </si>
  <si>
    <t>E02971</t>
  </si>
  <si>
    <t>Mia Wu</t>
  </si>
  <si>
    <t>E03327</t>
  </si>
  <si>
    <t>Julia Luong</t>
  </si>
  <si>
    <t>E03854</t>
  </si>
  <si>
    <t>Camila Li</t>
  </si>
  <si>
    <t>E04729</t>
  </si>
  <si>
    <t>Ezekiel Fong</t>
  </si>
  <si>
    <t>E00181</t>
  </si>
  <si>
    <t>Genesis Hu</t>
  </si>
  <si>
    <t>E03090</t>
  </si>
  <si>
    <t>Penelope Choi</t>
  </si>
  <si>
    <t>E00500</t>
  </si>
  <si>
    <t>Henry Shah</t>
  </si>
  <si>
    <t>E02728</t>
  </si>
  <si>
    <t>Thomas Chang</t>
  </si>
  <si>
    <t>E01014</t>
  </si>
  <si>
    <t>Lucas Phan</t>
  </si>
  <si>
    <t>E04529</t>
  </si>
  <si>
    <t>Gabriel Yu</t>
  </si>
  <si>
    <t>E00632</t>
  </si>
  <si>
    <t>Angel Chang</t>
  </si>
  <si>
    <t>E03429</t>
  </si>
  <si>
    <t>Ian Wu</t>
  </si>
  <si>
    <t>E04962</t>
  </si>
  <si>
    <t>Elena Tan</t>
  </si>
  <si>
    <t>E03893</t>
  </si>
  <si>
    <t>Alice Xiong</t>
  </si>
  <si>
    <t>E03277</t>
  </si>
  <si>
    <t>Caroline Hu</t>
  </si>
  <si>
    <t>E04194</t>
  </si>
  <si>
    <t>Madison Kumar</t>
  </si>
  <si>
    <t>E04041</t>
  </si>
  <si>
    <t>Clara Huynh</t>
  </si>
  <si>
    <t>Jaxson Dinh</t>
  </si>
  <si>
    <t>E04165</t>
  </si>
  <si>
    <t>Sophie Vang</t>
  </si>
  <si>
    <t>E00650</t>
  </si>
  <si>
    <t>Emery Chang</t>
  </si>
  <si>
    <t>E00344</t>
  </si>
  <si>
    <t>Savannah He</t>
  </si>
  <si>
    <t>E00965</t>
  </si>
  <si>
    <t>Jacob Khan</t>
  </si>
  <si>
    <t>Angel Xiong</t>
  </si>
  <si>
    <t>E02337</t>
  </si>
  <si>
    <t>Emma Cao</t>
  </si>
  <si>
    <t>E04538</t>
  </si>
  <si>
    <t>Adeline Yang</t>
  </si>
  <si>
    <t>Jonathan Khan</t>
  </si>
  <si>
    <t>Elias Dang</t>
  </si>
  <si>
    <t>E00144</t>
  </si>
  <si>
    <t>Theodore Ngo</t>
  </si>
  <si>
    <t>E03901</t>
  </si>
  <si>
    <t>Luca Truong</t>
  </si>
  <si>
    <t>Harper Chin</t>
  </si>
  <si>
    <t>E04784</t>
  </si>
  <si>
    <t>Joshua Lin</t>
  </si>
  <si>
    <t>Aubrey Yoon</t>
  </si>
  <si>
    <t>Noah Chen</t>
  </si>
  <si>
    <t>E00784</t>
  </si>
  <si>
    <t>Ella Nguyen</t>
  </si>
  <si>
    <t>E00325</t>
  </si>
  <si>
    <t>Jameson Chen</t>
  </si>
  <si>
    <t>Carson Chau</t>
  </si>
  <si>
    <t>E02313</t>
  </si>
  <si>
    <t>Jeremiah Lu</t>
  </si>
  <si>
    <t>E00826</t>
  </si>
  <si>
    <t>Rylee Bui</t>
  </si>
  <si>
    <t>John Jung</t>
  </si>
  <si>
    <t>E01262</t>
  </si>
  <si>
    <t>E02977</t>
  </si>
  <si>
    <t>Nicholas Song</t>
  </si>
  <si>
    <t>E02473</t>
  </si>
  <si>
    <t>Leonardo Lo</t>
  </si>
  <si>
    <t>E02103</t>
  </si>
  <si>
    <t>Andrew Ma</t>
  </si>
  <si>
    <t>E04213</t>
  </si>
  <si>
    <t>Hailey Xi</t>
  </si>
  <si>
    <t>E04114</t>
  </si>
  <si>
    <t>Christopher Lim</t>
  </si>
  <si>
    <t>E03181</t>
  </si>
  <si>
    <t>Greyson Dang</t>
  </si>
  <si>
    <t>E04403</t>
  </si>
  <si>
    <t>Dominic Hu</t>
  </si>
  <si>
    <t>E04487</t>
  </si>
  <si>
    <t>Audrey Hwang</t>
  </si>
  <si>
    <t>E01371</t>
  </si>
  <si>
    <t>Dominic Le</t>
  </si>
  <si>
    <t>E01377</t>
  </si>
  <si>
    <t>Grayson Luu</t>
  </si>
  <si>
    <t>E01668</t>
  </si>
  <si>
    <t>Naomi Xi</t>
  </si>
  <si>
    <t>E03402</t>
  </si>
  <si>
    <t>Isaac Liu</t>
  </si>
  <si>
    <t>Leah Khan</t>
  </si>
  <si>
    <t>E03059</t>
  </si>
  <si>
    <t>Hailey Dang</t>
  </si>
  <si>
    <t>E02477</t>
  </si>
  <si>
    <t>Amelia Bui</t>
  </si>
  <si>
    <t>E00022</t>
  </si>
  <si>
    <t>Elena Her</t>
  </si>
  <si>
    <t>E00555</t>
  </si>
  <si>
    <t>Christian Ali</t>
  </si>
  <si>
    <t>E03919</t>
  </si>
  <si>
    <t>Grayson Chan</t>
  </si>
  <si>
    <t>E04087</t>
  </si>
  <si>
    <t>Adam Kaur</t>
  </si>
  <si>
    <t>E01712</t>
  </si>
  <si>
    <t>James Singh</t>
  </si>
  <si>
    <t>Naomi Chu</t>
  </si>
  <si>
    <t>Sebastian Gupta</t>
  </si>
  <si>
    <t>E01733</t>
  </si>
  <si>
    <t>Eloise Pham</t>
  </si>
  <si>
    <t>E02420</t>
  </si>
  <si>
    <t>Madison Li</t>
  </si>
  <si>
    <t>E04277</t>
  </si>
  <si>
    <t>Zoe Do</t>
  </si>
  <si>
    <t>E02881</t>
  </si>
  <si>
    <t>Leilani Sharma</t>
  </si>
  <si>
    <t>James Huang</t>
  </si>
  <si>
    <t>E03465</t>
  </si>
  <si>
    <t>Harper Phan</t>
  </si>
  <si>
    <t>E03064</t>
  </si>
  <si>
    <t>Lincoln Fong</t>
  </si>
  <si>
    <t>E03273</t>
  </si>
  <si>
    <t>Daniel Shah</t>
  </si>
  <si>
    <t>E01387</t>
  </si>
  <si>
    <t>Cora Zheng</t>
  </si>
  <si>
    <t>Elizabeth Huang</t>
  </si>
  <si>
    <t>E01193</t>
  </si>
  <si>
    <t>Raelynn Lu</t>
  </si>
  <si>
    <t>E01789</t>
  </si>
  <si>
    <t>Charles Luu</t>
  </si>
  <si>
    <t>E02846</t>
  </si>
  <si>
    <t>Julia Mai</t>
  </si>
  <si>
    <t>Adam He</t>
  </si>
  <si>
    <t>E03683</t>
  </si>
  <si>
    <t>Raelynn Hong</t>
  </si>
  <si>
    <t>E00206</t>
  </si>
  <si>
    <t>Theodore Xi</t>
  </si>
  <si>
    <t>E02066</t>
  </si>
  <si>
    <t>Grayson Yee</t>
  </si>
  <si>
    <t>E03364</t>
  </si>
  <si>
    <t>Audrey Lee</t>
  </si>
  <si>
    <t>E02984</t>
  </si>
  <si>
    <t>Jack Mai</t>
  </si>
  <si>
    <t>E04699</t>
  </si>
  <si>
    <t>Ivy Tang</t>
  </si>
  <si>
    <t>E04969</t>
  </si>
  <si>
    <t>Abigail Vang</t>
  </si>
  <si>
    <t>E04157</t>
  </si>
  <si>
    <t>William Cao</t>
  </si>
  <si>
    <t>E03528</t>
  </si>
  <si>
    <t>Leo Hsu</t>
  </si>
  <si>
    <t>Penelope Fong</t>
  </si>
  <si>
    <t>E01268</t>
  </si>
  <si>
    <t>Charlotte Wu</t>
  </si>
  <si>
    <t>E04853</t>
  </si>
  <si>
    <t>Vivian Chu</t>
  </si>
  <si>
    <t>E00951</t>
  </si>
  <si>
    <t>Everly Lin</t>
  </si>
  <si>
    <t>E01706</t>
  </si>
  <si>
    <t>Avery Sun</t>
  </si>
  <si>
    <t>Gabriel Zhou</t>
  </si>
  <si>
    <t>E01396</t>
  </si>
  <si>
    <t>Jack Vu</t>
  </si>
  <si>
    <t>E01941</t>
  </si>
  <si>
    <t>Quinn Trinh</t>
  </si>
  <si>
    <t>E04189</t>
  </si>
  <si>
    <t>Ariana Kim</t>
  </si>
  <si>
    <t>E00324</t>
  </si>
  <si>
    <t>Hailey Song</t>
  </si>
  <si>
    <t>E02033</t>
  </si>
  <si>
    <t>Grace Sun</t>
  </si>
  <si>
    <t>Sebastian Le</t>
  </si>
  <si>
    <t>E02720</t>
  </si>
  <si>
    <t>Jaxon Fong</t>
  </si>
  <si>
    <t>E02428</t>
  </si>
  <si>
    <t>Connor Luu</t>
  </si>
  <si>
    <t>E00342</t>
  </si>
  <si>
    <t>Wesley Doan</t>
  </si>
  <si>
    <t>E02576</t>
  </si>
  <si>
    <t>Gianna Ha</t>
  </si>
  <si>
    <t>E01755</t>
  </si>
  <si>
    <t>Audrey Patel</t>
  </si>
  <si>
    <t>Brooklyn Cho</t>
  </si>
  <si>
    <t>E01242</t>
  </si>
  <si>
    <t>Emery Doan</t>
  </si>
  <si>
    <t>E03332</t>
  </si>
  <si>
    <t>Ruby Sun</t>
  </si>
  <si>
    <t>Cooper Gupta</t>
  </si>
  <si>
    <t>E04636</t>
  </si>
  <si>
    <t>Hailey Yee</t>
  </si>
  <si>
    <t>John Trinh</t>
  </si>
  <si>
    <t>Sofia Trinh</t>
  </si>
  <si>
    <t>E00089</t>
  </si>
  <si>
    <t>Sofia Yoon</t>
  </si>
  <si>
    <t>E02035</t>
  </si>
  <si>
    <t>Eli Rahman</t>
  </si>
  <si>
    <t>E03611</t>
  </si>
  <si>
    <t>Alice Mehta</t>
  </si>
  <si>
    <t>E03519</t>
  </si>
  <si>
    <t>Eliza Zheng</t>
  </si>
  <si>
    <t>E01967</t>
  </si>
  <si>
    <t>John Dang</t>
  </si>
  <si>
    <t>E01125</t>
  </si>
  <si>
    <t>Joshua Yang</t>
  </si>
  <si>
    <t>E00508</t>
  </si>
  <si>
    <t>Thomas Jung</t>
  </si>
  <si>
    <t>E01225</t>
  </si>
  <si>
    <t>Christian Fong</t>
  </si>
  <si>
    <t>E02453</t>
  </si>
  <si>
    <t>Dylan Kumar</t>
  </si>
  <si>
    <t>E03457</t>
  </si>
  <si>
    <t>Ivy Desai</t>
  </si>
  <si>
    <t>E01300</t>
  </si>
  <si>
    <t>Sadie Lee</t>
  </si>
  <si>
    <t>E04670</t>
  </si>
  <si>
    <t>Angel Do</t>
  </si>
  <si>
    <t>E02363</t>
  </si>
  <si>
    <t>Eliza Liang</t>
  </si>
  <si>
    <t>E03718</t>
  </si>
  <si>
    <t>Zoe Zhou</t>
  </si>
  <si>
    <t>E01611</t>
  </si>
  <si>
    <t>Gabriella Zhu</t>
  </si>
  <si>
    <t>Cooper Jiang</t>
  </si>
  <si>
    <t>E03858</t>
  </si>
  <si>
    <t>John Cho</t>
  </si>
  <si>
    <t>E03778</t>
  </si>
  <si>
    <t>Luke Vu</t>
  </si>
  <si>
    <t>E02661</t>
  </si>
  <si>
    <t>Maya Chan</t>
  </si>
  <si>
    <t>E00785</t>
  </si>
  <si>
    <t>Hannah Hoang</t>
  </si>
  <si>
    <t>E02703</t>
  </si>
  <si>
    <t>Austin Vang</t>
  </si>
  <si>
    <t>E02191</t>
  </si>
  <si>
    <t>Maria Sun</t>
  </si>
  <si>
    <t>E04032</t>
  </si>
  <si>
    <t>Emery Zhang</t>
  </si>
  <si>
    <t>E01909</t>
  </si>
  <si>
    <t>Lillian Khan</t>
  </si>
  <si>
    <t>E02521</t>
  </si>
  <si>
    <t>Lily Nguyen</t>
  </si>
  <si>
    <t>E03680</t>
  </si>
  <si>
    <t>Elias Alvarado</t>
  </si>
  <si>
    <t>Brazil</t>
  </si>
  <si>
    <t>Manaus</t>
  </si>
  <si>
    <t>E03484</t>
  </si>
  <si>
    <t>Logan Rivera</t>
  </si>
  <si>
    <t>Rio de Janerio</t>
  </si>
  <si>
    <t>E04545</t>
  </si>
  <si>
    <t>Abigail Mejia</t>
  </si>
  <si>
    <t>E00402</t>
  </si>
  <si>
    <t>Dominic Guzman</t>
  </si>
  <si>
    <t>E01417</t>
  </si>
  <si>
    <t>Leah Pena</t>
  </si>
  <si>
    <t>E00699</t>
  </si>
  <si>
    <t>Ava Ayala</t>
  </si>
  <si>
    <t>E00502</t>
  </si>
  <si>
    <t>Natalia Salazar</t>
  </si>
  <si>
    <t>E00105</t>
  </si>
  <si>
    <t>Isla Espinoza</t>
  </si>
  <si>
    <t>E00791</t>
  </si>
  <si>
    <t>Thomas Padilla</t>
  </si>
  <si>
    <t>Sao Paulo</t>
  </si>
  <si>
    <t>E01540</t>
  </si>
  <si>
    <t>Miles Salazar</t>
  </si>
  <si>
    <t>E00416</t>
  </si>
  <si>
    <t>Everleigh Fernandez</t>
  </si>
  <si>
    <t>E03440</t>
  </si>
  <si>
    <t>Genesis Navarro</t>
  </si>
  <si>
    <t>Eliza Hernandez</t>
  </si>
  <si>
    <t>E00972</t>
  </si>
  <si>
    <t>Amelia Salazar</t>
  </si>
  <si>
    <t>E04931</t>
  </si>
  <si>
    <t>Zoe Romero</t>
  </si>
  <si>
    <t>E04379</t>
  </si>
  <si>
    <t>Scarlett Rodriguez</t>
  </si>
  <si>
    <t>E01713</t>
  </si>
  <si>
    <t>Nolan Guzman</t>
  </si>
  <si>
    <t>E02464</t>
  </si>
  <si>
    <t>Sophie Silva</t>
  </si>
  <si>
    <t>E02783</t>
  </si>
  <si>
    <t>Levi Mendez</t>
  </si>
  <si>
    <t>E03717</t>
  </si>
  <si>
    <t>Joseph Ruiz</t>
  </si>
  <si>
    <t>E02254</t>
  </si>
  <si>
    <t>Jaxson Sandoval</t>
  </si>
  <si>
    <t>E04504</t>
  </si>
  <si>
    <t>Jameson Alvarado</t>
  </si>
  <si>
    <t>Mila Pena</t>
  </si>
  <si>
    <t>E02216</t>
  </si>
  <si>
    <t>Caleb Marquez</t>
  </si>
  <si>
    <t>E02803</t>
  </si>
  <si>
    <t>Eli Soto</t>
  </si>
  <si>
    <t>Carter Mejia</t>
  </si>
  <si>
    <t>E03520</t>
  </si>
  <si>
    <t>Nolan Pena</t>
  </si>
  <si>
    <t>E00725</t>
  </si>
  <si>
    <t>Nova Herrera</t>
  </si>
  <si>
    <t>E01409</t>
  </si>
  <si>
    <t>Jose Molina</t>
  </si>
  <si>
    <t>E03904</t>
  </si>
  <si>
    <t>Hunter Ortiz</t>
  </si>
  <si>
    <t>E04742</t>
  </si>
  <si>
    <t>Kinsley Vega</t>
  </si>
  <si>
    <t>E02844</t>
  </si>
  <si>
    <t>Charles Diaz</t>
  </si>
  <si>
    <t>E00119</t>
  </si>
  <si>
    <t>Jack Maldonado</t>
  </si>
  <si>
    <t>E02810</t>
  </si>
  <si>
    <t>Layla Torres</t>
  </si>
  <si>
    <t>E00842</t>
  </si>
  <si>
    <t>John Vega</t>
  </si>
  <si>
    <t>E01271</t>
  </si>
  <si>
    <t>Luke Munoz</t>
  </si>
  <si>
    <t>E03664</t>
  </si>
  <si>
    <t>Aria Castro</t>
  </si>
  <si>
    <t>E04167</t>
  </si>
  <si>
    <t>Henry Alvarez</t>
  </si>
  <si>
    <t>E04103</t>
  </si>
  <si>
    <t>Isabella Soto</t>
  </si>
  <si>
    <t>Charlotte Ruiz</t>
  </si>
  <si>
    <t>E02555</t>
  </si>
  <si>
    <t>Landon Lopez</t>
  </si>
  <si>
    <t>E02062</t>
  </si>
  <si>
    <t>Nora Santiago</t>
  </si>
  <si>
    <t>E00034</t>
  </si>
  <si>
    <t>Caroline Herrera</t>
  </si>
  <si>
    <t>E03438</t>
  </si>
  <si>
    <t>Asher Morales</t>
  </si>
  <si>
    <t>E00078</t>
  </si>
  <si>
    <t>Eva Garcia</t>
  </si>
  <si>
    <t>E04037</t>
  </si>
  <si>
    <t>Roman Martinez</t>
  </si>
  <si>
    <t>E04029</t>
  </si>
  <si>
    <t>Jayden Jimenez</t>
  </si>
  <si>
    <t>E02147</t>
  </si>
  <si>
    <t>Allison Medina</t>
  </si>
  <si>
    <t>E03972</t>
  </si>
  <si>
    <t>Jordan Gomez</t>
  </si>
  <si>
    <t>E02189</t>
  </si>
  <si>
    <t>Isla Chavez</t>
  </si>
  <si>
    <t>E01924</t>
  </si>
  <si>
    <t>Anna Gutierrez</t>
  </si>
  <si>
    <t>E00788</t>
  </si>
  <si>
    <t>Emily Contreras</t>
  </si>
  <si>
    <t>E02693</t>
  </si>
  <si>
    <t>Grace Campos</t>
  </si>
  <si>
    <t>E03359</t>
  </si>
  <si>
    <t>Autumn Ortiz</t>
  </si>
  <si>
    <t>E00900</t>
  </si>
  <si>
    <t>Eleanor Delgado</t>
  </si>
  <si>
    <t>E02284</t>
  </si>
  <si>
    <t>Josephine Salazar</t>
  </si>
  <si>
    <t>E04168</t>
  </si>
  <si>
    <t>Mila Juarez</t>
  </si>
  <si>
    <t>E01241</t>
  </si>
  <si>
    <t>Hadley Guerrero</t>
  </si>
  <si>
    <t>E03802</t>
  </si>
  <si>
    <t>Thomas Vazquez</t>
  </si>
  <si>
    <t>E02632</t>
  </si>
  <si>
    <t>Alice Soto</t>
  </si>
  <si>
    <t>E02730</t>
  </si>
  <si>
    <t>Axel Soto</t>
  </si>
  <si>
    <t>E02895</t>
  </si>
  <si>
    <t>Mila Soto</t>
  </si>
  <si>
    <t>E02678</t>
  </si>
  <si>
    <t>Nicholas Rivera</t>
  </si>
  <si>
    <t>E00268</t>
  </si>
  <si>
    <t>Ian Flores</t>
  </si>
  <si>
    <t>E04155</t>
  </si>
  <si>
    <t>Dylan Dominguez</t>
  </si>
  <si>
    <t>E04811</t>
  </si>
  <si>
    <t>Athena Vasquez</t>
  </si>
  <si>
    <t>E03404</t>
  </si>
  <si>
    <t>Everleigh Nunez</t>
  </si>
  <si>
    <t>E01845</t>
  </si>
  <si>
    <t>Leo Fernandez</t>
  </si>
  <si>
    <t>Alexander Rivera</t>
  </si>
  <si>
    <t>E04448</t>
  </si>
  <si>
    <t>Adrian Ruiz</t>
  </si>
  <si>
    <t>E04817</t>
  </si>
  <si>
    <t>Zoe Sanchez</t>
  </si>
  <si>
    <t>E00096</t>
  </si>
  <si>
    <t>Peyton Cruz</t>
  </si>
  <si>
    <t>E01760</t>
  </si>
  <si>
    <t>Madeline Acosta</t>
  </si>
  <si>
    <t>E01075</t>
  </si>
  <si>
    <t>Joshua Juarez</t>
  </si>
  <si>
    <t>E04108</t>
  </si>
  <si>
    <t>Jade Figueroa</t>
  </si>
  <si>
    <t>E02917</t>
  </si>
  <si>
    <t>Everett Morales</t>
  </si>
  <si>
    <t>E03393</t>
  </si>
  <si>
    <t>Henry Figueroa</t>
  </si>
  <si>
    <t>E03889</t>
  </si>
  <si>
    <t>Caleb Flores</t>
  </si>
  <si>
    <t>E01423</t>
  </si>
  <si>
    <t>James Castillo</t>
  </si>
  <si>
    <t>Silas Estrada</t>
  </si>
  <si>
    <t>Hazel Cortez</t>
  </si>
  <si>
    <t>E03370</t>
  </si>
  <si>
    <t>Ian Cortez</t>
  </si>
  <si>
    <t>E03160</t>
  </si>
  <si>
    <t>Carter Ortiz</t>
  </si>
  <si>
    <t>E01724</t>
  </si>
  <si>
    <t>Nolan Molina</t>
  </si>
  <si>
    <t>E03805</t>
  </si>
  <si>
    <t>Autumn Gonzales</t>
  </si>
  <si>
    <t>E01407</t>
  </si>
  <si>
    <t>Ellie Guerrero</t>
  </si>
  <si>
    <t>E02063</t>
  </si>
  <si>
    <t>Ian Gutierrez</t>
  </si>
  <si>
    <t>E00184</t>
  </si>
  <si>
    <t>Kayden Ortega</t>
  </si>
  <si>
    <t>E02899</t>
  </si>
  <si>
    <t>Joshua Cortez</t>
  </si>
  <si>
    <t>E04952</t>
  </si>
  <si>
    <t>Paisley Gomez</t>
  </si>
  <si>
    <t>E01432</t>
  </si>
  <si>
    <t>Peyton Garza</t>
  </si>
  <si>
    <t>Kennedy Romero</t>
  </si>
  <si>
    <t>Isla Guzman</t>
  </si>
  <si>
    <t>E00701</t>
  </si>
  <si>
    <t>Madeline Garcia</t>
  </si>
  <si>
    <t>E01347</t>
  </si>
  <si>
    <t>Aiden Gonzales</t>
  </si>
  <si>
    <t>E01422</t>
  </si>
  <si>
    <t>Lydia Espinoza</t>
  </si>
  <si>
    <t>E02192</t>
  </si>
  <si>
    <t>Lucy Avila</t>
  </si>
  <si>
    <t>Kennedy Vargas</t>
  </si>
  <si>
    <t>E01649</t>
  </si>
  <si>
    <t>Eva Alvarado</t>
  </si>
  <si>
    <t>E00955</t>
  </si>
  <si>
    <t>Theodore Marquez</t>
  </si>
  <si>
    <t>Natalia Santos</t>
  </si>
  <si>
    <t>E00494</t>
  </si>
  <si>
    <t>Robert Alvarez</t>
  </si>
  <si>
    <t>E00634</t>
  </si>
  <si>
    <t>Samantha Chavez</t>
  </si>
  <si>
    <t>E04683</t>
  </si>
  <si>
    <t>Ezekiel Delgado</t>
  </si>
  <si>
    <t>E02800</t>
  </si>
  <si>
    <t>Eva Estrada</t>
  </si>
  <si>
    <t>E04926</t>
  </si>
  <si>
    <t>Emma Luna</t>
  </si>
  <si>
    <t>E02649</t>
  </si>
  <si>
    <t>Charles Gonzalez</t>
  </si>
  <si>
    <t>E00518</t>
  </si>
  <si>
    <t>Lydia Morales</t>
  </si>
  <si>
    <t>E04564</t>
  </si>
  <si>
    <t>Luke Sanchez</t>
  </si>
  <si>
    <t>Addison Perez</t>
  </si>
  <si>
    <t>E03521</t>
  </si>
  <si>
    <t>Jackson Navarro</t>
  </si>
  <si>
    <t>E01508</t>
  </si>
  <si>
    <t>Penelope Rodriguez</t>
  </si>
  <si>
    <t>E00862</t>
  </si>
  <si>
    <t>Levi Moreno</t>
  </si>
  <si>
    <t>E00035</t>
  </si>
  <si>
    <t>Lillian Gonzales</t>
  </si>
  <si>
    <t>E02535</t>
  </si>
  <si>
    <t>Caroline Perez</t>
  </si>
  <si>
    <t>E01943</t>
  </si>
  <si>
    <t>Vivian Espinoza</t>
  </si>
  <si>
    <t>E03240</t>
  </si>
  <si>
    <t>Aiden Silva</t>
  </si>
  <si>
    <t>Ian Vargas</t>
  </si>
  <si>
    <t>E00447</t>
  </si>
  <si>
    <t>Hailey Sanchez</t>
  </si>
  <si>
    <t>E02968</t>
  </si>
  <si>
    <t>Caroline Santos</t>
  </si>
  <si>
    <t>E02047</t>
  </si>
  <si>
    <t>Xavier Perez</t>
  </si>
  <si>
    <t>Clara Sanchez</t>
  </si>
  <si>
    <t>E03159</t>
  </si>
  <si>
    <t>Claire Romero</t>
  </si>
  <si>
    <t>E00102</t>
  </si>
  <si>
    <t>Riley Rojas</t>
  </si>
  <si>
    <t>E01264</t>
  </si>
  <si>
    <t>Hazel Alvarez</t>
  </si>
  <si>
    <t>E00943</t>
  </si>
  <si>
    <t>Elena Mendoza</t>
  </si>
  <si>
    <t>E02193</t>
  </si>
  <si>
    <t>Josephine Acosta</t>
  </si>
  <si>
    <t>E00577</t>
  </si>
  <si>
    <t>Nora Nunez</t>
  </si>
  <si>
    <t>E02889</t>
  </si>
  <si>
    <t>Mia Herrera</t>
  </si>
  <si>
    <t>E04163</t>
  </si>
  <si>
    <t>David Herrera</t>
  </si>
  <si>
    <t>E01652</t>
  </si>
  <si>
    <t>Avery Dominguez</t>
  </si>
  <si>
    <t>E03102</t>
  </si>
  <si>
    <t>Cooper Valdez</t>
  </si>
  <si>
    <t>Kinsley Martinez</t>
  </si>
  <si>
    <t>E02554</t>
  </si>
  <si>
    <t>Joshua Ramirez</t>
  </si>
  <si>
    <t>E02888</t>
  </si>
  <si>
    <t>Elijah Ramos</t>
  </si>
  <si>
    <t>E02561</t>
  </si>
  <si>
    <t>Samantha Vargas</t>
  </si>
  <si>
    <t>E02221</t>
  </si>
  <si>
    <t>Julian Delgado</t>
  </si>
  <si>
    <t>E02627</t>
  </si>
  <si>
    <t>Parker Avila</t>
  </si>
  <si>
    <t>E03430</t>
  </si>
  <si>
    <t>Leo Herrera</t>
  </si>
  <si>
    <t>Exp</t>
  </si>
  <si>
    <t>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</si>
</sst>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5" x14ac:knownFonts="1">
    <font>
      <sz val="11"/>
      <color theme="1"/>
      <name val="Calibri"/>
      <family val="2"/>
      <scheme val="minor"/>
    </font>
    <font>
      <b/>
      <sz val="12"/>
      <color theme="1"/>
      <name val="Calibri"/>
      <family val="2"/>
      <scheme val="minor"/>
    </font>
    <font>
      <sz val="11"/>
      <name val="Calibri"/>
      <family val="2"/>
      <scheme val="minor"/>
    </font>
    <font>
      <u/>
      <sz val="11"/>
      <color theme="10"/>
      <name val="Calibri"/>
      <family val="2"/>
      <scheme val="minor"/>
    </font>
    <font>
      <sz val="8"/>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5"/>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3" fillId="0" borderId="0" xfId="1"/>
    <xf numFmtId="0" fontId="2" fillId="3" borderId="0" xfId="0" applyFont="1" applyFill="1" applyAlignment="1">
      <alignment horizontal="center"/>
    </xf>
    <xf numFmtId="0" fontId="0" fillId="4" borderId="0" xfId="0" applyFill="1" applyAlignment="1">
      <alignment horizontal="center"/>
    </xf>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1" fillId="2" borderId="0" xfId="0" applyFont="1" applyFill="1" applyAlignment="1">
      <alignment horizontal="left"/>
    </xf>
    <xf numFmtId="0" fontId="0" fillId="0" borderId="0" xfId="0" applyAlignment="1">
      <alignment horizontal="left"/>
    </xf>
    <xf numFmtId="0" fontId="1" fillId="2" borderId="0" xfId="0" applyFont="1" applyFill="1" applyAlignment="1">
      <alignment horizontal="center"/>
      <extLst>
        <ext xmlns:xfpb="http://schemas.microsoft.com/office/spreadsheetml/2022/featurepropertybag" uri="{C7286773-470A-42A8-94C5-96B5CB345126}">
          <xfpb:xfComplement i="0"/>
        </ext>
      </extLst>
    </xf>
    <xf numFmtId="0" fontId="0" fillId="0" borderId="0" xfId="0" applyAlignment="1">
      <alignment horizontal="left"/>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maven.apache.org/POM/4.0.0'">
  <Schema ID="Schema1" Namespace="http://maven.apache.org/POM/4.0.0">
    <xs:schema xmlns:xs="http://www.w3.org/2001/XMLSchema" xmlns="http://maven.apache.org/POM/4.0.0" elementFormDefault="qualified" targetNamespace="http://maven.apache.org/POM/4.0.0">
      <xs:element name="project" type="Model">
        <xs:annotation>
          <xs:documentation source="version">3.0.0+</xs:documentation>
          <xs:documentation source="description">
        The &lt;code&gt;&amp;lt;project&amp;gt;&lt;/code&gt; element is the root of the descriptor.
        The following table lists all of the possible child elements.
      </xs:documentation>
        </xs:annotation>
      </xs:element>
      <xs:complexType name="Model">
        <xs:annotation>
          <xs:documentation source="version">3.0.0+</xs:documentation>
          <xs:documentation source="description">
        The &lt;code&gt;&amp;lt;project&amp;gt;&lt;/code&gt; element is the root of the descriptor.
        The following table lists all of the possible child elements.
      </xs:documentation>
        </xs:annotation>
        <xs:all>
          <xs:element minOccurs="0" name="modelVersion" type="xs:string">
            <xs:annotation>
              <xs:documentation source="version">4.0.0+</xs:documentation>
              <xs:documentation source="description">Declares to which version of project descriptor this POM conforms.</xs:documentation>
            </xs:annotation>
          </xs:element>
          <xs:element minOccurs="0" name="parent" type="Parent">
            <xs:annotation>
              <xs:documentation source="version">4.0.0+</xs:documentation>
              <xs:documentation source="description">The location of the parent project, if one exists. Values from the parent
            project will be the default for this project if they are left unspecified. The location
            is given as a group ID, artifact ID and version.</xs:documentation>
            </xs:annotation>
          </xs:element>
          <xs:element minOccurs="0" name="groupId" type="xs:string">
            <xs:annotation>
              <xs:documentation source="version">3.0.0+</xs:documentation>
              <xs:documentation source="description">
            A universally unique identifier for a project. It is normal to
            use a fully-qualified package name to distinguish it from other
            projects with a similar name (eg. &lt;code&gt;org.apache.maven&lt;/code&gt;).
          </xs:documentation>
            </xs:annotation>
          </xs:element>
          <xs:element minOccurs="0" name="artifactId" type="xs:string">
            <xs:annotation>
              <xs:documentation source="version">3.0.0+</xs:documentation>
              <xs:documentation source="description">The identifier for this artifact that is unique within the group given by the
            group ID. An artifact is something that is either produced or used by a project.
            Examples of artifacts produced by Maven for a project include: JARs, source and binary
            distributions, and WARs.</xs:documentation>
            </xs:annotation>
          </xs:element>
          <xs:element minOccurs="0" name="version" type="xs:string">
            <xs:annotation>
              <xs:documentation source="version">4.0.0+</xs:documentation>
              <xs:documentation source="description">The current version of the artifact produced by this project.</xs:documentation>
            </xs:annotation>
          </xs:element>
          <xs:element minOccurs="0" name="packaging" type="xs:string" default="jar">
            <xs:annotation>
              <xs:documentation source="version">4.0.0+</xs:documentation>
              <xs:documentation source="description">
            The type of artifact this project produces, for example &lt;code&gt;jar&lt;/code&gt;
              &lt;code&gt;war&lt;/code&gt;
              &lt;code&gt;ear&lt;/code&gt;
              &lt;code&gt;pom&lt;/code&gt;.
            Plugins can create their own packaging, and
            therefore their own packaging types,
            so this list does not contain all possible types.
          </xs:documentation>
            </xs:annotation>
          </xs:element>
          <xs:element minOccurs="0" name="name" type="xs:string">
            <xs:annotation>
              <xs:documentation source="version">3.0.0+</xs:documentation>
              <xs:documentation source="description">The full name of the project.</xs:documentation>
            </xs:annotation>
          </xs:element>
          <xs:element minOccurs="0" name="description" type="xs:string">
            <xs:annotation>
              <xs:documentation source="version">3.0.0+</xs:documentation>
              <xs:documentation source="description">A detailed description of the project, used by Maven whenever it needs to
            describe the project, such as on the web site. While this element can be specified as
            CDATA to enable the use of HTML tags within the description, it is discouraged to allow
            plain text representation. If you need to modify the index page of the generated web
            site, you are able to specify your own instead of adjusting this text.</xs:documentation>
            </xs:annotation>
          </xs:element>
          <xs:element minOccurs="0" name="url" type="xs:string">
            <xs:annotation>
              <xs:documentation source="version">3.0.0+</xs:documentation>
              <xs:documentation source="description">
            The URL to the project's homepage.
            &lt;br&gt;&lt;b&gt;Default value is&lt;/b&gt;: parent value [+ path adjustment] + (artifactId or project.directory property), or just parent value if
            project's &lt;code&gt;child.project.url.inherit.append.path="false"&lt;/code&gt;
          </xs:documentation>
            </xs:annotation>
          </xs:element>
          <xs:element minOccurs="0" name="inceptionYear" type="xs:string">
            <xs:annotation>
              <xs:documentation source="version">3.0.0+</xs:documentation>
              <xs:documentation source="description">The year of the project's inception, specified with 4 digits. This value is
            used when generating copyright notices as well as being informational.</xs:documentation>
            </xs:annotation>
          </xs:element>
          <xs:element minOccurs="0" name="organization" type="Organization">
            <xs:annotation>
              <xs:documentation source="version">3.0.0+</xs:documentation>
              <xs:documentation source="description">This element describes various attributes of the organization to which the
            project belongs. These attributes are utilized when documentation is created (for
            copyright notices and links).</xs:documentation>
            </xs:annotation>
          </xs:element>
          <xs:element minOccurs="0" name="licenses">
            <xs:annotation>
              <xs:documentation source="version">3.0.0+</xs:documentation>
              <xs:documentation source="description">
            This element describes all of the licenses for this project.
            Each license is described by a &lt;code&gt;license&lt;/code&gt; element, which
            is then described by additional elements.
            Projects should only list the license(s) that applies to the project
            and not the licenses that apply to dependencies.
            If multiple licenses are listed, it is assumed that the user can select
            any of them, not that they must accept all.
          </xs:documentation>
            </xs:annotation>
            <xs:complexType>
              <xs:sequence>
                <xs:element type="License" name="license" minOccurs="0" maxOccurs="unbounded"/>
              </xs:sequence>
            </xs:complexType>
          </xs:element>
          <xs:element minOccurs="0" name="developers">
            <xs:annotation>
              <xs:documentation source="version">3.0.0+</xs:documentation>
              <xs:documentation source="description">Describes the committers of a project.</xs:documentation>
            </xs:annotation>
            <xs:complexType>
              <xs:sequence>
                <xs:element type="Developer" name="developer" minOccurs="0" maxOccurs="unbounded"/>
              </xs:sequence>
            </xs:complexType>
          </xs:element>
          <xs:element minOccurs="0" name="contributors">
            <xs:annotation>
              <xs:documentation source="version">3.0.0+</xs:documentation>
              <xs:documentation source="description">Describes the contributors to a project that are not yet committers.</xs:documentation>
            </xs:annotation>
            <xs:complexType>
              <xs:sequence>
                <xs:element type="Contributor" name="contributor" minOccurs="0" maxOccurs="unbounded"/>
              </xs:sequence>
            </xs:complexType>
          </xs:element>
          <xs:element minOccurs="0" name="mailingLists">
            <xs:annotation>
              <xs:documentation source="version">3.0.0+</xs:documentation>
              <xs:documentation source="description">Contains information about a project's mailing lists.</xs:documentation>
            </xs:annotation>
            <xs:complexType>
              <xs:sequence>
                <xs:element type="MailingList" name="mailingList" minOccurs="0" maxOccurs="unbounded"/>
              </xs:sequence>
            </xs:complexType>
          </xs:element>
          <xs:element minOccurs="0" name="prerequisites" type="Prerequisites">
            <xs:annotation>
              <xs:documentation source="version">4.0.0+</xs:documentation>
              <xs:documentation source="description">Describes the prerequisites in the build environment for this project.</xs:documentation>
            </xs:annotation>
          </xs:element>
          <xs:element minOccurs="0" name="modules">
            <xs:annotation>
              <xs:documentation source="version">4.0.0+</xs:documentation>
              <xs:documentation source="description">The modules (sometimes called subprojects) to build as a part of this
            project. Each module listed is a relative path to the directory containing the module.
            To be consistent with the way default urls are calculated from parent, it is recommended
            to have module names match artifact ids.</xs:documentation>
            </xs:annotation>
            <xs:complexType>
              <xs:sequence>
                <xs:element type="xs:string" name="module" minOccurs="0" maxOccurs="unbounded"/>
              </xs:sequence>
            </xs:complexType>
          </xs:element>
          <xs:element minOccurs="0" name="scm" type="Scm">
            <xs:annotation>
              <xs:documentation source="version">4.0.0+</xs:documentation>
              <xs:documentation source="description">Specification for the SCM used by the project, such as CVS, Subversion, etc.</xs:documentation>
            </xs:annotation>
          </xs:element>
          <xs:element minOccurs="0" name="issueManagement" type="IssueManagement">
            <xs:annotation>
              <xs:documentation source="version">4.0.0+</xs:documentation>
              <xs:documentation source="description">The project's issue management system information.</xs:documentation>
            </xs:annotation>
          </xs:element>
          <xs:element minOccurs="0" name="ciManagement" type="CiManagement">
            <xs:annotation>
              <xs:documentation source="version">4.0.0+</xs:documentation>
              <xs:documentation source="description">The project's continuous integration information.</xs:documentation>
            </xs:annotation>
          </xs:element>
          <xs:element minOccurs="0" name="distributionManagement" type="DistributionManagement">
            <xs:annotation>
              <xs:documentation source="version">4.0.0+</xs:documentation>
              <xs:documentation source="description">Distribution information for a project that enables deployment of the site
            and artifacts to remote web servers and repositories respectively.</xs:documentation>
            </xs:annotation>
          </xs:element>
          <xs:element minOccurs="0" name="properties">
            <xs:annotation>
              <xs:documentation source="version">4.0.0+</xs:documentation>
              <xs:documentation source="description">
            Properties that can be used throughout the POM as a substitution, and
            are used as filters in resources if enabled.
            The format is &lt;code&gt;&amp;lt;name&amp;gt;value&amp;lt;/name&amp;gt;&lt;/code&gt;.
          </xs:documentation>
            </xs:annotation>
            <xs:complexType>
              <xs:sequence>
                <xs:any minOccurs="0" maxOccurs="unbounded" processContents="skip"/>
              </xs:sequence>
            </xs:complexType>
          </xs:element>
          <xs:element minOccurs="0" name="dependencyManagement" type="DependencyManagement">
            <xs:annotation>
              <xs:documentation source="version">4.0.0+</xs:documentation>
              <xs:documentation source="description">Default dependency information for projects that inherit from this one. The
            dependencies in this section are not immediately resolved. Instead, when a POM derived
            from this one declares a dependency described by a matching groupId and artifactId, the
            version and other values from this section are used for that dependency if they were not
            already specified.</xs:documentation>
            </xs:annotation>
          </xs:element>
          <xs:element minOccurs="0" name="dependencies">
            <xs:annotation>
              <xs:documentation source="version">3.0.0+</xs:documentation>
              <xs:documentation source="description">
            This element describes all of the dependencies associated with a
            project.
            These dependencies are used to construct a classpath for your
            project during the build process. They are automatically downloaded from the
            repositories defined in this project.
            See &lt;a href="https://maven.apache.org/guides/introduction/introduction-to-dependency-mechanism.html"&gt;the
            dependency mechanism&lt;/a&gt; for more information.
          </xs:documentation>
            </xs:annotation>
            <xs:complexType>
              <xs:sequence>
                <xs:element type="Dependency" name="dependency" minOccurs="0" maxOccurs="unbounded"/>
              </xs:sequence>
            </xs:complexType>
          </xs:element>
          <xs:element minOccurs="0" name="repositories">
            <xs:annotation>
              <xs:documentation source="version">4.0.0+</xs:documentation>
              <xs:documentation source="description">The lists of the remote repositories for discovering dependencies and
            extensions.</xs:documentation>
            </xs:annotation>
            <xs:complexType>
              <xs:sequence>
                <xs:element type="Repository" name="repository" minOccurs="0" maxOccurs="unbounded"/>
              </xs:sequence>
            </xs:complexType>
          </xs:element>
          <xs:element minOccurs="0" name="pluginRepositories">
            <xs:annotation>
              <xs:documentation source="version">4.0.0+</xs:documentation>
              <xs:documentation source="description">The lists of the remote repositories for discovering plugins for builds and
            reports.</xs:documentation>
            </xs:annotation>
            <xs:complexType>
              <xs:sequence>
                <xs:element type="Repository" name="pluginRepository" minOccurs="0" maxOccurs="unbounded"/>
              </xs:sequence>
            </xs:complexType>
          </xs:element>
          <xs:element minOccurs="0" name="build" type="Build">
            <xs:annotation>
              <xs:documentation source="version">3.0.0+</xs:documentation>
              <xs:documentation source="description">Information required to build the project.</xs:documentation>
            </xs:annotation>
          </xs:element>
          <xs:element minOccurs="0" name="reports">
            <xs:annotation>
              <xs:documentation source="version">4.0.0+</xs:documentation>
              <xs:documentation source="description">
            &lt;b&gt;Deprecated&lt;/b&gt;. Now ignored by Maven.
          </xs:documentation>
            </xs:annotation>
            <xs:complexType>
              <xs:sequence>
                <xs:any minOccurs="0" maxOccurs="unbounded" processContents="skip"/>
              </xs:sequence>
            </xs:complexType>
          </xs:element>
          <xs:element minOccurs="0" name="reporting" type="Reporting">
            <xs:annotation>
              <xs:documentation source="version">4.0.0+</xs:documentation>
              <xs:documentation source="description">
            This element includes the specification of report plugins to use
            to generate the reports on the Maven-generated site.
            These reports will be run when a user executes &lt;code&gt;mvn site&lt;/code&gt;.
            All of the reports will be included in the navigation bar for browsing.
          </xs:documentation>
            </xs:annotation>
          </xs:element>
          <xs:element minOccurs="0" name="profiles">
            <xs:annotation>
              <xs:documentation source="version">4.0.0+</xs:documentation>
              <xs:documentation source="description">A listing of project-local build profiles which will modify the build process
            when activated.</xs:documentation>
            </xs:annotation>
            <xs:complexType>
              <xs:sequence>
                <xs:element type="Profile" name="profile" minOccurs="0" maxOccurs="unbounded"/>
              </xs:sequence>
            </xs:complexType>
          </xs:element>
        </xs:all>
        <xs:attribute name="child.project.url.inherit.append.path" type="xs:string" use="optional">
          <xs:annotation>
            <xs:documentation source="version">4.0.0+</xs:documentation>
            <xs:documentation source="description">
            When children inherit from project's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License">
        <xs:annotation>
          <xs:documentation source="version">3.0.0+</xs:documentation>
          <xs:documentation source="description">Describes the licenses for this project. This is used to generate the license
        page of the project's web site, as well as being taken into consideration in other reporting
        and validation. The licenses listed for the project are that of the project itself, and not
        of dependencies.</xs:documentation>
        </xs:annotation>
        <xs:all>
          <xs:element minOccurs="0" name="name" type="xs:string">
            <xs:annotation>
              <xs:documentation source="version">3.0.0+</xs:documentation>
              <xs:documentation source="description">The full legal name of the license.</xs:documentation>
            </xs:annotation>
          </xs:element>
          <xs:element minOccurs="0" name="url" type="xs:string">
            <xs:annotation>
              <xs:documentation source="version">3.0.0+</xs:documentation>
              <xs:documentation source="description">The official url for the license text.</xs:documentation>
            </xs:annotation>
          </xs:element>
          <xs:element minOccurs="0" name="distribution" type="xs:string">
            <xs:annotation>
              <xs:documentation source="version">3.0.0+</xs:documentation>
              <xs:documentation source="description">
            The primary method by which this project may be distributed.
            &lt;dl&gt;
              &lt;dt&gt;repo&lt;/dt&gt;
              &lt;dd&gt;may be downloaded from the Maven repository&lt;/dd&gt;
              &lt;dt&gt;manual&lt;/dt&gt;
              &lt;dd&gt;user must manually download and install the dependency.&lt;/dd&gt;
            &lt;/dl&gt;
          </xs:documentation>
            </xs:annotation>
          </xs:element>
          <xs:element minOccurs="0" name="comments" type="xs:string">
            <xs:annotation>
              <xs:documentation source="version">3.0.0+</xs:documentation>
              <xs:documentation source="description">Addendum information pertaining to this license.</xs:documentation>
            </xs:annotation>
          </xs:element>
        </xs:all>
      </xs:complexType>
      <xs:complexType name="CiManagement">
        <xs:annotation>
          <xs:documentation source="version">4.0.0+</xs:documentation>
          <xs:documentation source="description">
        The &lt;code&gt;&amp;lt;CiManagement&amp;gt;&lt;/code&gt; element contains informations required to the
        continuous integration system of the project.
      </xs:documentation>
        </xs:annotation>
        <xs:all>
          <xs:element minOccurs="0" name="system" type="xs:string">
            <xs:annotation>
              <xs:documentation source="version">4.0.0+</xs:documentation>
              <xs:documentation source="description">
            The name of the continuous integration system, e.g. &lt;code&gt;continuum&lt;/code&gt;.
          </xs:documentation>
            </xs:annotation>
          </xs:element>
          <xs:element minOccurs="0" name="url" type="xs:string">
            <xs:annotation>
              <xs:documentation source="version">4.0.0+</xs:documentation>
              <xs:documentation source="description">URL for the continuous integration system used by the project if it has a web
            interface.</xs:documentation>
            </xs:annotation>
          </xs:element>
          <xs:element minOccurs="0" name="notifiers">
            <xs:annotation>
              <xs:documentation source="version">4.0.0+</xs:documentation>
              <xs:documentation source="description">Configuration for notifying developers/users when a build is unsuccessful,
            including user information and notification mode.</xs:documentation>
            </xs:annotation>
            <xs:complexType>
              <xs:sequence>
                <xs:element type="Notifier" name="notifier" minOccurs="0" maxOccurs="unbounded"/>
              </xs:sequence>
            </xs:complexType>
          </xs:element>
        </xs:all>
      </xs:complexType>
      <xs:complexType name="Notifier">
        <xs:annotation>
          <xs:documentation source="version">4.0.0+</xs:documentation>
          <xs:documentation source="description">Configures one method for notifying users/developers when a build breaks.</xs:documentation>
        </xs:annotation>
        <xs:all>
          <xs:element minOccurs="0" name="type" type="xs:string" default="mail">
            <xs:annotation>
              <xs:documentation source="version">4.0.0+</xs:documentation>
              <xs:documentation source="description">The mechanism used to deliver notifications.</xs:documentation>
            </xs:annotation>
          </xs:element>
          <xs:element minOccurs="0" name="sendOnError" type="xs:boolean" default="true">
            <xs:annotation>
              <xs:documentation source="version">4.0.0+</xs:documentation>
              <xs:documentation source="description">Whether to send notifications on error.</xs:documentation>
            </xs:annotation>
          </xs:element>
          <xs:element minOccurs="0" name="sendOnFailure" type="xs:boolean" default="true">
            <xs:annotation>
              <xs:documentation source="version">4.0.0+</xs:documentation>
              <xs:documentation source="description">Whether to send notifications on failure.</xs:documentation>
            </xs:annotation>
          </xs:element>
          <xs:element minOccurs="0" name="sendOnSuccess" type="xs:boolean" default="true">
            <xs:annotation>
              <xs:documentation source="version">4.0.0+</xs:documentation>
              <xs:documentation source="description">Whether to send notifications on success.</xs:documentation>
            </xs:annotation>
          </xs:element>
          <xs:element minOccurs="0" name="sendOnWarning" type="xs:boolean" default="true">
            <xs:annotation>
              <xs:documentation source="version">4.0.0+</xs:documentation>
              <xs:documentation source="description">Whether to send notifications on warning.</xs:documentation>
            </xs:annotation>
          </xs:element>
          <xs:element minOccurs="0" name="address" type="xs:string">
            <xs:annotation>
              <xs:documentation source="version">4.0.0+</xs:documentation>
              <xs:documentation source="description">
            &lt;b&gt;Deprecated&lt;/b&gt;. Where to send the notification to - eg email address.
          </xs:documentation>
            </xs:annotation>
          </xs:element>
          <xs:element minOccurs="0" name="configuration">
            <xs:annotation>
              <xs:documentation source="version">0.0.0+</xs:documentation>
              <xs:documentation source="description">Extended configuration specific to this notifier goes here.</xs:documentation>
            </xs:annotation>
            <xs:complexType>
              <xs:sequence>
                <xs:any minOccurs="0" maxOccurs="unbounded" processContents="skip"/>
              </xs:sequence>
            </xs:complexType>
          </xs:element>
        </xs:all>
      </xs:complexType>
      <xs:complexType name="Scm">
        <xs:annotation>
          <xs:documentation source="version">4.0.0+</xs:documentation>
          <xs:documentation source="description">
        The &lt;code&gt;&amp;lt;scm&amp;gt;&lt;/code&gt; element contains informations required to the SCM
        (Source Control Management) of the project.
      </xs:documentation>
        </xs:annotation>
        <xs:all>
          <xs:element minOccurs="0" name="connection" type="xs:string">
            <xs:annotation>
              <xs:documentation source="version">4.0.0+</xs:documentation>
              <xs:documentation source="description">
            The source control management system URL
            that describes the repository and how to connect to the
            repository. For more information, see the
            &lt;a href="https://maven.apache.org/scm/scm-url-format.html"&gt;URL format&lt;/a&gt;
            and &lt;a href="https://maven.apache.org/scm/scms-overview.html"&gt;list of supported SCMs&lt;/a&gt;.
            This connection is read-only.
            &lt;br&gt;&lt;b&gt;Default value is&lt;/b&gt;: parent value [+ path adjustment] + (artifactId or project.directory property), or just parent value if
            scm's &lt;code&gt;child.scm.connection.inherit.append.path="false"&lt;/code&gt;
          </xs:documentation>
            </xs:annotation>
          </xs:element>
          <xs:element minOccurs="0" name="developerConnection" type="xs:string">
            <xs:annotation>
              <xs:documentation source="version">4.0.0+</xs:documentation>
              <xs:documentation source="description">
            Just like &lt;code&gt;connection&lt;/code&gt;, but for developers, i.e. this scm connection
            will not be read only.
            &lt;br&gt;&lt;b&gt;Default value is&lt;/b&gt;: parent value [+ path adjustment] + (artifactId or project.directory property), or just parent value if
            scm's &lt;code&gt;child.scm.developerConnection.inherit.append.path="false"&lt;/code&gt;
          </xs:documentation>
            </xs:annotation>
          </xs:element>
          <xs:element minOccurs="0" name="tag" type="xs:string" default="HEAD">
            <xs:annotation>
              <xs:documentation source="version">4.0.0+</xs:documentation>
              <xs:documentation source="description">The tag of current code. By default, it's set to HEAD during development.</xs:documentation>
            </xs:annotation>
          </xs:element>
          <xs:element minOccurs="0" name="url" type="xs:string">
            <xs:annotation>
              <xs:documentation source="version">4.0.0+</xs:documentation>
              <xs:documentation source="description">
            The URL to the project's browsable SCM repository, such as ViewVC or Fisheye.
            &lt;br&gt;&lt;b&gt;Default value is&lt;/b&gt;: parent value [+ path adjustment] + (artifactId or project.directory property), or just parent value if
            scm's &lt;code&gt;child.scm.url.inherit.append.path="false"&lt;/code&gt;
          </xs:documentation>
            </xs:annotation>
          </xs:element>
        </xs:all>
        <xs:attribute name="child.scm.connection.inherit.append.path" type="xs:string" use="optional">
          <xs:annotation>
            <xs:documentation source="version">4.0.0+</xs:documentation>
            <xs:documentation source="description">
            When children inherit from scm connection,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attribute name="child.scm.developerConnection.inherit.append.path" type="xs:string" use="optional">
          <xs:annotation>
            <xs:documentation source="version">4.0.0+</xs:documentation>
            <xs:documentation source="description">
            When children inherit from scm developer connection,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attribute name="child.scm.url.inherit.append.path" type="xs:string" use="optional">
          <xs:annotation>
            <xs:documentation source="version">4.0.0+</xs:documentation>
            <xs:documentation source="description">
            When children inherit from scm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IssueManagement">
        <xs:annotation>
          <xs:documentation source="version">4.0.0+</xs:documentation>
          <xs:documentation source="description">Information about the issue tracking (or bug tracking) system used to manage this
        project.</xs:documentation>
        </xs:annotation>
        <xs:all>
          <xs:element minOccurs="0" name="system" type="xs:string">
            <xs:annotation>
              <xs:documentation source="version">4.0.0+</xs:documentation>
              <xs:documentation source="description">The name of the issue management system, e.g. Bugzilla</xs:documentation>
            </xs:annotation>
          </xs:element>
          <xs:element minOccurs="0" name="url" type="xs:string">
            <xs:annotation>
              <xs:documentation source="version">4.0.0+</xs:documentation>
              <xs:documentation source="description">URL for the issue management system used by the project.</xs:documentation>
            </xs:annotation>
          </xs:element>
        </xs:all>
      </xs:complexType>
      <xs:complexType name="DependencyManagement">
        <xs:annotation>
          <xs:documentation source="version">4.0.0+</xs:documentation>
          <xs:documentation source="description">Section for management of default dependency information for use in a group of
        POMs.</xs:documentation>
        </xs:annotation>
        <xs:all>
          <xs:element minOccurs="0" name="dependencies">
            <xs:annotation>
              <xs:documentation source="version">4.0.0+</xs:documentation>
              <xs:documentation source="description">The dependencies specified here are not used until they are referenced in a
            POM within the group. This allows the specification of a "standard" version for a
            particular dependency.</xs:documentation>
            </xs:annotation>
            <xs:complexType>
              <xs:sequence>
                <xs:element type="Dependency" name="dependency" minOccurs="0" maxOccurs="unbounded"/>
              </xs:sequence>
            </xs:complexType>
          </xs:element>
        </xs:all>
      </xs:complexType>
      <xs:complexType name="Dependency">
        <xs:annotation>
          <xs:documentation source="version">3.0.0+</xs:documentation>
          <xs:documentation source="description">
        The &lt;code&gt;&amp;lt;dependency&amp;gt;&lt;/code&gt; element contains information about a dependency
        of the project.
      </xs:documentation>
        </xs:annotation>
        <xs:all>
          <xs:element minOccurs="0" name="groupId" type="xs:string">
            <xs:annotation>
              <xs:documentation source="version">3.0.0+</xs:documentation>
              <xs:documentation source="description">
            The project group that produced the dependency, e.g.
            &lt;code&gt;org.apache.maven&lt;/code&gt;.
          </xs:documentation>
            </xs:annotation>
          </xs:element>
          <xs:element minOccurs="0" name="artifactId" type="xs:string">
            <xs:annotation>
              <xs:documentation source="version">3.0.0+</xs:documentation>
              <xs:documentation source="description">
            The unique id for an artifact produced by the project group, e.g.
            &lt;code&gt;maven-artifact&lt;/code&gt;.
          </xs:documentation>
            </xs:annotation>
          </xs:element>
          <xs:element minOccurs="0" name="version" type="xs:string">
            <xs:annotation>
              <xs:documentation source="version">3.0.0+</xs:documentation>
              <xs:documentation source="description">
            The version requirement of the dependency such as &lt;code&gt;3.2.1&lt;/code&gt;.
            The actual version will be resolved by dependency mediation.
            The version requirement can also be
            specified as a range of versions such as &lt;code&gt;[3.2.0,)&lt;/code&gt;.
            However, this is discouraged since it may break &lt;i&gt;predictability&lt;/i&gt; of
            the resolved version. See the &lt;a href="https://maven.apache.org/pom.html#Dependency_Version_Requirement_Specification"&gt;Dependency Version Requirement Specification&lt;/a&gt;
            and &lt;a href="https://maven.apache.org/guides/introduction/introduction-to-dependency-mechanism.html#Transitive_Dependencies"&gt;Transitive Dependencies&lt;/a&gt; for more details.
          </xs:documentation>
            </xs:annotation>
          </xs:element>
          <xs:element minOccurs="0" name="type" type="xs:string" default="jar">
            <xs:annotation>
              <xs:documentation source="version">4.0.0+</xs:documentation>
              <xs:documentation source="description">
            The type of dependency, that will be mapped to a file extension, an optional classifier, and a few other attributes.
            Some examples are &lt;code&gt;jar&lt;/code&gt;, &lt;code&gt;war&lt;/code&gt;, &lt;code&gt;ejb-client&lt;/code&gt;
            and &lt;code&gt;test-jar&lt;/code&gt;: see &lt;a href="../maven-core/artifact-handlers.html"&gt;default
            artifact handlers&lt;/a&gt; for a list. New types can be defined by extensions, so this is not a complete list.
          </xs:documentation>
            </xs:annotation>
          </xs:element>
          <xs:element minOccurs="0" name="classifier" type="xs:string">
            <xs:annotation>
              <xs:documentation source="version">4.0.0+</xs:documentation>
              <xs:documentation source="description">
            The classifier of the dependency. It is appended to
            the filename after the version. This allows:
            &lt;ul&gt;
            &lt;li&gt;referring to attached artifact, for example &lt;code&gt;sources&lt;/code&gt; and &lt;code&gt;javadoc&lt;/code&gt;:
            see &lt;a href="../maven-core/artifact-handlers.html"&gt;default artifact handlers&lt;/a&gt; for a list,&lt;/li&gt;
            &lt;li&gt;distinguishing two artifacts
            that belong to the same POM but were built differently.
            For example, &lt;code&gt;jdk14&lt;/code&gt; and &lt;code&gt;jdk15&lt;/code&gt;.&lt;/li&gt;
            &lt;/ul&gt;
          </xs:documentation>
            </xs:annotation>
          </xs:element>
          <xs:element minOccurs="0" name="scope" type="xs:string">
            <xs:annotation>
              <xs:documentation source="version">4.0.0+</xs:documentation>
              <xs:documentation source="description">
            The scope of the dependency - &lt;code&gt;compile&lt;/code&gt;, &lt;code&gt;runtime&lt;/code&gt;,
            &lt;code&gt;test&lt;/code&gt;, &lt;code&gt;system&lt;/code&gt;, and &lt;code&gt;provided&lt;/code&gt;. Used to
            calculate the various classpaths used for compilation, testing, and so on.
            It also assists in determining which artifacts to include in a distribution of
            this project. For more information, see
            &lt;a href="https://maven.apache.org/guides/introduction/introduction-to-dependency-mechanism.html"&gt;the
            dependency mechanism&lt;/a&gt;. The default scope is &lt;code&gt;compile&lt;/code&gt;.
          </xs:documentation>
            </xs:annotation>
          </xs:element>
          <xs:element minOccurs="0" name="systemPath" type="xs:string">
            <xs:annotation>
              <xs:documentation source="version">4.0.0+</xs:documentation>
              <xs:documentation source="description">
            FOR SYSTEM SCOPE ONLY. Note that use of this property is &lt;b&gt;discouraged&lt;/b&gt;
            and may be replaced in later versions. This specifies the path on the filesystem
            for this dependency.
            Requires an absolute path for the value, not relative.
            Use a property that gives the machine specific absolute path,
            e.g. &lt;code&gt;${java.home}&lt;/code&gt;.
          </xs:documentation>
            </xs:annotation>
          </xs:element>
          <xs:element minOccurs="0" name="exclusions">
            <xs:annotation>
              <xs:documentation source="version">4.0.0+</xs:documentation>
              <xs:documentation source="description">Lists a set of artifacts that should be excluded from this dependency's
            artifact list when it comes to calculating transitive dependencies.</xs:documentation>
            </xs:annotation>
            <xs:complexType>
              <xs:sequence>
                <xs:element type="Exclusion" name="exclusion" minOccurs="0" maxOccurs="unbounded"/>
              </xs:sequence>
            </xs:complexType>
          </xs:element>
          <xs:element minOccurs="0" name="optional" type="xs:string">
            <xs:annotation>
              <xs:documentation source="version">4.0.0+</xs:documentation>
              <xs:documentation source="description">
            Indicates the dependency is optional for use of this library. While the
            version of the dependency will be taken into account for dependency calculation if the
            library is used elsewhere, it will not be passed on transitively. Note: While the type
            of this field is &lt;code&gt;String&lt;/code&gt; for technical reasons, the semantic type is actually
            &lt;code&gt;Boolean&lt;/code&gt;. Default value is &lt;code&gt;false&lt;/code&gt;.
          </xs:documentation>
            </xs:annotation>
          </xs:element>
        </xs:all>
      </xs:complexType>
      <xs:complexType name="Exclusion">
        <xs:annotation>
          <xs:documentation source="version">4.0.0+</xs:documentation>
          <xs:documentation source="description">
        The &lt;code&gt;&amp;lt;exclusion&amp;gt;&lt;/code&gt; element contains informations required to exclude
        an artifact to the project.
      </xs:documentation>
        </xs:annotation>
        <xs:all>
          <xs:element minOccurs="0" name="groupId" type="xs:string">
            <xs:annotation>
              <xs:documentation source="version">4.0.0+</xs:documentation>
              <xs:documentation source="description">The group ID of the project to exclude.</xs:documentation>
            </xs:annotation>
          </xs:element>
          <xs:element minOccurs="0" name="artifactId" type="xs:string">
            <xs:annotation>
              <xs:documentation source="version">4.0.0+</xs:documentation>
              <xs:documentation source="description">The artifact ID of the project to exclude.</xs:documentation>
            </xs:annotation>
          </xs:element>
        </xs:all>
      </xs:complexType>
      <xs:complexType name="Parent">
        <xs:annotation>
          <xs:documentation source="version">4.0.0+</xs:documentation>
          <xs:documentation source="description">
        The &lt;code&gt;&amp;lt;parent&amp;gt;&lt;/code&gt; element contains information required to locate the parent project from which
        this project will inherit from.
        &lt;strong&gt;Note:&lt;/strong&gt; The children of this element are not interpolated and must be given as literal values.
      </xs:documentation>
        </xs:annotation>
        <xs:all>
          <xs:element minOccurs="0" name="groupId" type="xs:string">
            <xs:annotation>
              <xs:documentation source="version">4.0.0+</xs:documentation>
              <xs:documentation source="description">The group id of the parent project to inherit from.</xs:documentation>
            </xs:annotation>
          </xs:element>
          <xs:element minOccurs="0" name="artifactId" type="xs:string">
            <xs:annotation>
              <xs:documentation source="version">4.0.0+</xs:documentation>
              <xs:documentation source="description">The artifact id of the parent project to inherit from.</xs:documentation>
            </xs:annotation>
          </xs:element>
          <xs:element minOccurs="0" name="version" type="xs:string">
            <xs:annotation>
              <xs:documentation source="version">4.0.0+</xs:documentation>
              <xs:documentation source="description">The version of the parent project to inherit.</xs:documentation>
            </xs:annotation>
          </xs:element>
          <xs:element minOccurs="0" name="relativePath" type="xs:string" default="../pom.xml">
            <xs:annotation>
              <xs:documentation source="version">4.0.0+</xs:documentation>
              <xs:documentation source="description">
            The relative path of the parent &lt;code&gt;pom.xml&lt;/code&gt; file within the check out.
            If not specified, it defaults to &lt;code&gt;../pom.xml&lt;/code&gt;.
            Maven looks for the parent POM first in this location on
            the filesystem, then the local repository, and lastly in the remote repo.
            &lt;code&gt;relativePath&lt;/code&gt; allows you to select a different location,
            for example when your structure is flat, or deeper without an intermediate parent POM.
            However, the group ID, artifact ID and version are still required,
            and must match the file in the location given or it will revert to the repository for the POM.
            This feature is only for enhancing the development in a local checkout of that project.
            Set the value to an empty string in case you want to disable the feature and always resolve
            the parent POM from the repositories.
          </xs:documentation>
            </xs:annotation>
          </xs:element>
        </xs:all>
      </xs:complexType>
      <xs:complexType name="Developer">
        <xs:annotation>
          <xs:documentation source="version">3.0.0+</xs:documentation>
          <xs:documentation source="description">Information about one of the committers on this project.</xs:documentation>
        </xs:annotation>
        <xs:all>
          <xs:element minOccurs="0" name="id" type="xs:string">
            <xs:annotation>
              <xs:documentation source="version">3.0.0+</xs:documentation>
              <xs:documentation source="description">The unique ID of the developer in the SCM.</xs:documentation>
            </xs:annotation>
          </xs:element>
          <xs:element minOccurs="0" name="name" type="xs:string">
            <xs:annotation>
              <xs:documentation source="version">3.0.0+</xs:documentation>
              <xs:documentation source="description">The full name of the contributor.</xs:documentation>
            </xs:annotation>
          </xs:element>
          <xs:element minOccurs="0" name="email" type="xs:string">
            <xs:annotation>
              <xs:documentation source="version">3.0.0+</xs:documentation>
              <xs:documentation source="description">The email address of the contributor.</xs:documentation>
            </xs:annotation>
          </xs:element>
          <xs:element minOccurs="0" name="url" type="xs:string">
            <xs:annotation>
              <xs:documentation source="version">3.0.0+</xs:documentation>
              <xs:documentation source="description">The URL for the homepage of the contributor.</xs:documentation>
            </xs:annotation>
          </xs:element>
          <xs:element minOccurs="0" name="organization" type="xs:string">
            <xs:annotation>
              <xs:documentation source="version">3.0.0+</xs:documentation>
              <xs:documentation source="description">The organization to which the contributor belongs.</xs:documentation>
            </xs:annotation>
          </xs:element>
          <xs:element minOccurs="0" name="organizationUrl" type="xs:string">
            <xs:annotation>
              <xs:documentation source="version">3.0.0+</xs:documentation>
              <xs:documentation source="description">The URL of the organization.</xs:documentation>
            </xs:annotation>
          </xs:element>
          <xs:element minOccurs="0" name="roles">
            <xs:annotation>
              <xs:documentation source="version">3.0.0+</xs:documentation>
              <xs:documentation source="description">
            The roles the contributor plays in the project. Each role is described by a
            &lt;code&gt;role&lt;/code&gt; element, the body of which is a role name. This can also be used to
            describe the contribution.
          </xs:documentation>
            </xs:annotation>
            <xs:complexType>
              <xs:sequence>
                <xs:element type="xs:string" name="role" minOccurs="0" maxOccurs="unbounded"/>
              </xs:sequence>
            </xs:complexType>
          </xs:element>
          <xs:element minOccurs="0" name="timezone" type="xs:string">
            <xs:annotation>
              <xs:documentation source="version">3.0.0+</xs:documentation>
              <xs:documentation source="description">
              The timezone the contributor is in. Typically, this is a number in the range
              &lt;a href="http://en.wikipedia.org/wiki/UTC%E2%88%9212:00"&gt;-12&lt;/a&gt; to &lt;a href="http://en.wikipedia.org/wiki/UTC%2B14:00"&gt;+14&lt;/a&gt;
              or a valid time zone id like "America/Montreal" (UTC-05:00) or "Europe/Paris" (UTC+01:00).
          </xs:documentation>
            </xs:annotation>
          </xs:element>
          <xs:element minOccurs="0" name="properties">
            <xs:annotation>
              <xs:documentation source="version">3.0.0+</xs:documentation>
              <xs:documentation source="description">Properties about the contributor, such as an instant messenger handle.</xs:documentation>
            </xs:annotation>
            <xs:complexType>
              <xs:sequence>
                <xs:any minOccurs="0" maxOccurs="unbounded" processContents="skip"/>
              </xs:sequence>
            </xs:complexType>
          </xs:element>
        </xs:all>
      </xs:complexType>
      <xs:complexType name="MailingList">
        <xs:annotation>
          <xs:documentation source="version">3.0.0+</xs:documentation>
          <xs:documentation source="description">This element describes all of the mailing lists associated with a project. The
        auto-generated site references this information.</xs:documentation>
        </xs:annotation>
        <xs:all>
          <xs:element minOccurs="0" name="name" type="xs:string">
            <xs:annotation>
              <xs:documentation source="version">3.0.0+</xs:documentation>
              <xs:documentation source="description">
            The name of the mailing list.
          </xs:documentation>
            </xs:annotation>
          </xs:element>
          <xs:element minOccurs="0" name="subscribe" type="xs:string">
            <xs:annotation>
              <xs:documentation source="version">3.0.0+</xs:documentation>
              <xs:documentation source="description">
            The email address or link that can be used to subscribe to
            the mailing list.  If this is an email address, a
            &lt;code&gt;mailto:&lt;/code&gt; link will automatically be created
            when the documentation is created.
          </xs:documentation>
            </xs:annotation>
          </xs:element>
          <xs:element minOccurs="0" name="unsubscribe" type="xs:string">
            <xs:annotation>
              <xs:documentation source="version">3.0.0+</xs:documentation>
              <xs:documentation source="description">
            The email address or link that can be used to unsubscribe to
            the mailing list.  If this is an email address, a
            &lt;code&gt;mailto:&lt;/code&gt; link will automatically be created
            when the documentation is created.
          </xs:documentation>
            </xs:annotation>
          </xs:element>
          <xs:element minOccurs="0" name="post" type="xs:string">
            <xs:annotation>
              <xs:documentation source="version">3.0.0+</xs:documentation>
              <xs:documentation source="description">
            The email address or link that can be used to post to
            the mailing list.  If this is an email address, a
            &lt;code&gt;mailto:&lt;/code&gt; link will automatically be created
            when the documentation is created.
          </xs:documentation>
            </xs:annotation>
          </xs:element>
          <xs:element minOccurs="0" name="archive" type="xs:string">
            <xs:annotation>
              <xs:documentation source="version">3.0.0+</xs:documentation>
              <xs:documentation source="description">The link to a URL where you can browse the mailing list archive.</xs:documentation>
            </xs:annotation>
          </xs:element>
          <xs:element minOccurs="0" name="otherArchives">
            <xs:annotation>
              <xs:documentation source="version">3.0.0+</xs:documentation>
              <xs:documentation source="description">The link to alternate URLs where you can browse the list archive.</xs:documentation>
            </xs:annotation>
            <xs:complexType>
              <xs:sequence>
                <xs:element type="xs:string" name="otherArchive" minOccurs="0" maxOccurs="unbounded"/>
              </xs:sequence>
            </xs:complexType>
          </xs:element>
        </xs:all>
      </xs:complexType>
      <xs:complexType name="Contributor">
        <xs:annotation>
          <xs:documentation source="version">3.0.0+</xs:documentation>
          <xs:documentation source="description">Description of a person who has contributed to the project, but who does not have
        commit privileges. Usually, these contributions come in the form of patches submitted.</xs:documentation>
        </xs:annotation>
        <xs:all>
          <xs:element minOccurs="0" name="name" type="xs:string">
            <xs:annotation>
              <xs:documentation source="version">3.0.0+</xs:documentation>
              <xs:documentation source="description">The full name of the contributor.</xs:documentation>
            </xs:annotation>
          </xs:element>
          <xs:element minOccurs="0" name="email" type="xs:string">
            <xs:annotation>
              <xs:documentation source="version">3.0.0+</xs:documentation>
              <xs:documentation source="description">The email address of the contributor.</xs:documentation>
            </xs:annotation>
          </xs:element>
          <xs:element minOccurs="0" name="url" type="xs:string">
            <xs:annotation>
              <xs:documentation source="version">3.0.0+</xs:documentation>
              <xs:documentation source="description">The URL for the homepage of the contributor.</xs:documentation>
            </xs:annotation>
          </xs:element>
          <xs:element minOccurs="0" name="organization" type="xs:string">
            <xs:annotation>
              <xs:documentation source="version">3.0.0+</xs:documentation>
              <xs:documentation source="description">The organization to which the contributor belongs.</xs:documentation>
            </xs:annotation>
          </xs:element>
          <xs:element minOccurs="0" name="organizationUrl" type="xs:string">
            <xs:annotation>
              <xs:documentation source="version">3.0.0+</xs:documentation>
              <xs:documentation source="description">The URL of the organization.</xs:documentation>
            </xs:annotation>
          </xs:element>
          <xs:element minOccurs="0" name="roles">
            <xs:annotation>
              <xs:documentation source="version">3.0.0+</xs:documentation>
              <xs:documentation source="description">
            The roles the contributor plays in the project. Each role is described by a
            &lt;code&gt;role&lt;/code&gt; element, the body of which is a role name. This can also be used to
            describe the contribution.
          </xs:documentation>
            </xs:annotation>
            <xs:complexType>
              <xs:sequence>
                <xs:element type="xs:string" name="role" minOccurs="0" maxOccurs="unbounded"/>
              </xs:sequence>
            </xs:complexType>
          </xs:element>
          <xs:element minOccurs="0" name="timezone" type="xs:string">
            <xs:annotation>
              <xs:documentation source="version">3.0.0+</xs:documentation>
              <xs:documentation source="description">
              The timezone the contributor is in. Typically, this is a number in the range
              &lt;a href="http://en.wikipedia.org/wiki/UTC%E2%88%9212:00"&gt;-12&lt;/a&gt; to &lt;a href="http://en.wikipedia.org/wiki/UTC%2B14:00"&gt;+14&lt;/a&gt;
              or a valid time zone id like "America/Montreal" (UTC-05:00) or "Europe/Paris" (UTC+01:00).
          </xs:documentation>
            </xs:annotation>
          </xs:element>
          <xs:element minOccurs="0" name="properties">
            <xs:annotation>
              <xs:documentation source="version">3.0.0+</xs:documentation>
              <xs:documentation source="description">Properties about the contributor, such as an instant messenger handle.</xs:documentation>
            </xs:annotation>
            <xs:complexType>
              <xs:sequence>
                <xs:any minOccurs="0" maxOccurs="unbounded" processContents="skip"/>
              </xs:sequence>
            </xs:complexType>
          </xs:element>
        </xs:all>
      </xs:complexType>
      <xs:complexType name="Organization">
        <xs:annotation>
          <xs:documentation source="version">3.0.0+</xs:documentation>
          <xs:documentation source="description">Specifies the organization that produces this project.</xs:documentation>
        </xs:annotation>
        <xs:all>
          <xs:element minOccurs="0" name="name" type="xs:string">
            <xs:annotation>
              <xs:documentation source="version">3.0.0+</xs:documentation>
              <xs:documentation source="description">The full name of the organization.</xs:documentation>
            </xs:annotation>
          </xs:element>
          <xs:element minOccurs="0" name="url" type="xs:string">
            <xs:annotation>
              <xs:documentation source="version">3.0.0+</xs:documentation>
              <xs:documentation source="description">The URL to the organization's home page.</xs:documentation>
            </xs:annotation>
          </xs:element>
        </xs:all>
      </xs:complexType>
      <xs:complexType name="DistributionManagement">
        <xs:annotation>
          <xs:documentation source="version">4.0.0+</xs:documentation>
          <xs:documentation source="description">This elements describes all that pertains to distribution for a project. It is
        primarily used for deployment of artifacts and the site produced by the build.</xs:documentation>
        </xs:annotation>
        <xs:all>
          <xs:element minOccurs="0" name="repository" type="DeploymentRepository">
            <xs:annotation>
              <xs:documentation source="version">4.0.0+</xs:documentation>
              <xs:documentation source="description">Information needed to deploy the artifacts generated by the project to a
            remote repository.</xs:documentation>
            </xs:annotation>
          </xs:element>
          <xs:element minOccurs="0" name="snapshotRepository" type="DeploymentRepository">
            <xs:annotation>
              <xs:documentation source="version">4.0.0+</xs:documentation>
              <xs:documentation source="description">
            Where to deploy snapshots of artifacts to. If not given, it defaults to the
            &lt;code&gt;repository&lt;/code&gt; element.
          </xs:documentation>
            </xs:annotation>
          </xs:element>
          <xs:element minOccurs="0" name="site" type="Site">
            <xs:annotation>
              <xs:documentation source="version">4.0.0+</xs:documentation>
              <xs:documentation source="description">Information needed for deploying the web site of the project.</xs:documentation>
            </xs:annotation>
          </xs:element>
          <xs:element minOccurs="0" name="downloadUrl" type="xs:string">
            <xs:annotation>
              <xs:documentation source="version">4.0.0+</xs:documentation>
              <xs:documentation source="description">
            The URL of the project's download page. If not given users will be
            referred to the homepage given by &lt;code&gt;url&lt;/code&gt;.
            This is given to assist in locating artifacts that are not in the repository due to
            licensing restrictions.
          </xs:documentation>
            </xs:annotation>
          </xs:element>
          <xs:element minOccurs="0" name="relocation" type="Relocation">
            <xs:annotation>
              <xs:documentation source="version">4.0.0+</xs:documentation>
              <xs:documentation source="description">Relocation information of the artifact if it has been moved to a new group ID
            and/or artifact ID.</xs:documentation>
            </xs:annotation>
          </xs:element>
          <xs:element minOccurs="0" name="status" type="xs:string">
            <xs:annotation>
              <xs:documentation source="version">4.0.0+</xs:documentation>
              <xs:documentation source="description">
            Gives the status of this artifact in the remote repository.
            This must not be set in your local project, as it is updated by
            tools placing it in the repository. Valid values are: &lt;code&gt;none&lt;/code&gt; (default),
            &lt;code&gt;converted&lt;/code&gt; (repository manager converted this from a Maven 1 POM),
            &lt;code&gt;partner&lt;/code&gt;
            (directly synced from a partner Maven repository), &lt;code&gt;deployed&lt;/code&gt; (was deployed from a Maven
            instance), &lt;code&gt;verified&lt;/code&gt; (has been hand verified as correct and final).
          </xs:documentation>
            </xs:annotation>
          </xs:element>
        </xs:all>
      </xs:complexType>
      <xs:complexType name="DeploymentRepository">
        <xs:annotation>
          <xs:documentation source="version">4.0.0+</xs:documentation>
          <xs:documentation source="description">Deployment repository contains the information needed for deploying to the remote
        repository, which adds uniqueVersion property to usual repositories for download.</xs:documentation>
        </xs:annotation>
        <xs:all>
          <xs:element minOccurs="0" name="uniqueVersion" type="xs:boolean" default="true">
            <xs:annotation>
              <xs:documentation source="version">4.0.0+</xs:documentation>
              <xs:documentation source="description">Whether to assign snapshots a unique version comprised of the timestamp and
            build number, or to use the same version each time</xs:documentation>
            </xs:annotation>
          </xs:element>
          <xs:element minOccurs="0" name="releases" type="RepositoryPolicy">
            <xs:annotation>
              <xs:documentation source="version">4.0.0+</xs:documentation>
              <xs:documentation source="description">How to handle downloading of releases from this repository.</xs:documentation>
            </xs:annotation>
          </xs:element>
          <xs:element minOccurs="0" name="snapshots" type="RepositoryPolicy">
            <xs:annotation>
              <xs:documentation source="version">4.0.0+</xs:documentation>
              <xs:documentation source="description">How to handle downloading of snapshots from this repository.</xs:documentation>
            </xs:annotation>
          </xs:element>
          <xs:element minOccurs="0" name="id" type="xs:string">
            <xs:annotation>
              <xs:documentation source="version">4.0.0+</xs:documentation>
              <xs:documentation source="description">
            A unique identifier for a repository. This is used to match the repository
            to configuration in the &lt;code&gt;settings.xml&lt;/code&gt; file, for example. Furthermore, the identifier is
            used during POM inheritance and profile injection to detect repositories that should be merged.
          </xs:documentation>
            </xs:annotation>
          </xs:element>
          <xs:element minOccurs="0" name="name" type="xs:string">
            <xs:annotation>
              <xs:documentation source="version">4.0.0+</xs:documentation>
              <xs:documentation source="description">Human readable name of the repository.</xs:documentation>
            </xs:annotation>
          </xs:element>
          <xs:element minOccurs="0" name="url" type="xs:string">
            <xs:annotation>
              <xs:documentation source="version">4.0.0+</xs:documentation>
              <xs:documentation source="description">
            The url of the repository, in the form &lt;code&gt;protocol://hostname/path&lt;/code&gt;.
          </xs:documentation>
            </xs:annotation>
          </xs:element>
          <xs:element minOccurs="0" name="layout" type="xs:string" default="default">
            <xs:annotation>
              <xs:documentation source="version">4.0.0+</xs:documentation>
              <xs:documentation source="description">
            The type of layout this repository uses for locating and storing artifacts -
            can be &lt;code&gt;legacy&lt;/code&gt; or &lt;code&gt;default&lt;/code&gt;.
          </xs:documentation>
            </xs:annotation>
          </xs:element>
        </xs:all>
      </xs:complexType>
      <xs:complexType name="RepositoryPolicy">
        <xs:annotation>
          <xs:documentation source="version">4.0.0+</xs:documentation>
          <xs:documentation source="description">Download policy.</xs:documentation>
        </xs:annotation>
        <xs:all>
          <xs:element minOccurs="0" name="enabled" type="xs:string">
            <xs:annotation>
              <xs:documentation source="version">4.0.0+</xs:documentation>
              <xs:documentation source="description">
            Whether to use this repository for downloading this type of artifact. Note: While the type
            of this field is &lt;code&gt;String&lt;/code&gt; for technical reasons, the semantic type is actually
            &lt;code&gt;Boolean&lt;/code&gt;. Default value is &lt;code&gt;true&lt;/code&gt;.
          </xs:documentation>
            </xs:annotation>
          </xs:element>
          <xs:element minOccurs="0" name="updatePolicy" type="xs:string">
            <xs:annotation>
              <xs:documentation source="version">4.0.0+</xs:documentation>
              <xs:documentation source="description">
            The frequency for downloading updates - can be
            &lt;code&gt;always,&lt;/code&gt;
            &lt;code&gt;daily&lt;/code&gt;
            (default),
            &lt;code&gt;interval:XXX&lt;/code&gt;
            (in minutes) or
            &lt;code&gt;never&lt;/code&gt;
            (only if it doesn't exist locally).
          </xs:documentation>
            </xs:annotation>
          </xs:element>
          <xs:element minOccurs="0" name="checksumPolicy" type="xs:string">
            <xs:annotation>
              <xs:documentation source="version">4.0.0+</xs:documentation>
              <xs:documentation source="description">
            What to do when verification of an artifact checksum fails. Valid values are
            &lt;code&gt;ignore&lt;/code&gt;
            ,
            &lt;code&gt;fail&lt;/code&gt;
            or
            &lt;code&gt;warn&lt;/code&gt;
            (the default).
          </xs:documentation>
            </xs:annotation>
          </xs:element>
        </xs:all>
      </xs:complexType>
      <xs:complexType name="Relocation">
        <xs:annotation>
          <xs:documentation source="version">4.0.0+</xs:documentation>
          <xs:documentation source="description">Describes where an artifact has moved to. If any of the values are omitted, it is
        assumed to be the same as it was before.</xs:documentation>
        </xs:annotation>
        <xs:all>
          <xs:element minOccurs="0" name="groupId" type="xs:string">
            <xs:annotation>
              <xs:documentation source="version">4.0.0+</xs:documentation>
              <xs:documentation source="description">The group ID the artifact has moved to.</xs:documentation>
            </xs:annotation>
          </xs:element>
          <xs:element minOccurs="0" name="artifactId" type="xs:string">
            <xs:annotation>
              <xs:documentation source="version">4.0.0+</xs:documentation>
              <xs:documentation source="description">The new artifact ID of the artifact.</xs:documentation>
            </xs:annotation>
          </xs:element>
          <xs:element minOccurs="0" name="version" type="xs:string">
            <xs:annotation>
              <xs:documentation source="version">4.0.0+</xs:documentation>
              <xs:documentation source="description">The new version of the artifact.</xs:documentation>
            </xs:annotation>
          </xs:element>
          <xs:element minOccurs="0" name="message" type="xs:string">
            <xs:annotation>
              <xs:documentation source="version">4.0.0+</xs:documentation>
              <xs:documentation source="description">An additional message to show the user about the move, such as the reason.</xs:documentation>
            </xs:annotation>
          </xs:element>
        </xs:all>
      </xs:complexType>
      <xs:complexType name="Site">
        <xs:annotation>
          <xs:documentation source="version">4.0.0+</xs:documentation>
          <xs:documentation source="description">Contains the information needed for deploying websites.</xs:documentation>
        </xs:annotation>
        <xs:all>
          <xs:element minOccurs="0" name="id" type="xs:string">
            <xs:annotation>
              <xs:documentation source="version">4.0.0+</xs:documentation>
              <xs:documentation source="description">
            A unique identifier for a deployment location. This is used to match the
            site to configuration in the &lt;code&gt;settings.xml&lt;/code&gt; file, for example.
          </xs:documentation>
            </xs:annotation>
          </xs:element>
          <xs:element minOccurs="0" name="name" type="xs:string">
            <xs:annotation>
              <xs:documentation source="version">4.0.0+</xs:documentation>
              <xs:documentation source="description">Human readable name of the deployment location.</xs:documentation>
            </xs:annotation>
          </xs:element>
          <xs:element minOccurs="0" name="url" type="xs:string">
            <xs:annotation>
              <xs:documentation source="version">4.0.0+</xs:documentation>
              <xs:documentation source="description">
            The url of the location where website is deployed, in the form &lt;code&gt;protocol://hostname/path&lt;/code&gt;.
            &lt;br&gt;&lt;b&gt;Default value is&lt;/b&gt;: parent value [+ path adjustment] + (artifactId or project.directory property), or just parent value if
            site's &lt;code&gt;child.site.url.inherit.append.path="false"&lt;/code&gt;
          </xs:documentation>
            </xs:annotation>
          </xs:element>
        </xs:all>
        <xs:attribute name="child.site.url.inherit.append.path" type="xs:string" use="optional">
          <xs:annotation>
            <xs:documentation source="version">4.0.0+</xs:documentation>
            <xs:documentation source="description">
            When children inherit from distribution management site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Reporting">
        <xs:annotation>
          <xs:documentation source="version">4.0.0+</xs:documentation>
          <xs:documentation source="description">Section for management of reports and their configuration.</xs:documentation>
        </xs:annotation>
        <xs:all>
          <xs:element minOccurs="0" name="excludeDefaults" type="xs:string">
            <xs:annotation>
              <xs:documentation source="version">4.0.0+</xs:documentation>
              <xs:documentation source="description">
            If true, then the default reports are not included in the site generation.
            This includes the reports in the "Project Info" menu. Note: While the type
            of this field is &lt;code&gt;String&lt;/code&gt; for technical reasons, the semantic type is actually
            &lt;code&gt;Boolean&lt;/code&gt;. Default value is &lt;code&gt;false&lt;/code&gt;.
          </xs:documentation>
            </xs:annotation>
          </xs:element>
          <xs:element minOccurs="0" name="outputDirectory" type="xs:string">
            <xs:annotation>
              <xs:documentation source="version">4.0.0+</xs:documentation>
              <xs:documentation source="description">
            Where to store all of the generated reports. The default is
            &lt;code&gt;${project.build.directory}/site&lt;/code&gt;.
          </xs:documentation>
            </xs:annotation>
          </xs:element>
          <xs:element minOccurs="0" name="plugins">
            <xs:annotation>
              <xs:documentation source="version">4.0.0+</xs:documentation>
              <xs:documentation source="description">The reporting plugins to use and their configuration.</xs:documentation>
            </xs:annotation>
            <xs:complexType>
              <xs:sequence>
                <xs:element type="ReportPlugin" name="plugin" minOccurs="0" maxOccurs="unbounded"/>
              </xs:sequence>
            </xs:complexType>
          </xs:element>
        </xs:all>
      </xs:complexType>
      <xs:complexType name="ReportPlugin">
        <xs:annotation>
          <xs:documentation source="version">4.0.0+</xs:documentation>
          <xs:documentation source="description">
        The &lt;code&gt;&amp;lt;plugin&amp;gt;&lt;/code&gt; element in &lt;code&gt;&amp;lt;reporting&amp;gt;&amp;lt;plugins&amp;gt;&lt;/code&gt; contains informations required for a report plugin.
      </xs:documentation>
        </xs:annotation>
        <xs:all>
          <xs:element minOccurs="0" name="groupId" type="xs:string" default="org.apache.maven.plugins">
            <xs:annotation>
              <xs:documentation source="version">4.0.0+</xs:documentation>
              <xs:documentation source="description">The group ID of the reporting plugin in the repository.</xs:documentation>
            </xs:annotation>
          </xs:element>
          <xs:element minOccurs="0" name="artifactId" type="xs:string">
            <xs:annotation>
              <xs:documentation source="version">4.0.0+</xs:documentation>
              <xs:documentation source="description">The artifact ID of the reporting plugin in the repository.</xs:documentation>
            </xs:annotation>
          </xs:element>
          <xs:element minOccurs="0" name="version" type="xs:string">
            <xs:annotation>
              <xs:documentation source="version">4.0.0+</xs:documentation>
              <xs:documentation source="description">
            The version of the reporting plugin to be used. Starting with Maven 3, if no version is defined explicitely,
            version is searched in &lt;code&gt;build/plugins&lt;/code&gt; then in &lt;code&gt;build/pluginManagement&lt;/code&gt;.
          </xs:documentation>
            </xs:annotation>
          </xs:element>
          <xs:element minOccurs="0" name="reportSets">
            <xs:annotation>
              <xs:documentation source="version">4.0.0+</xs:documentation>
              <xs:documentation source="description">
            Multiple specifications of a set of reports, each having (possibly) different
            configuration. This is the reporting parallel to an &lt;code&gt;execution&lt;/code&gt; in the build.
          </xs:documentation>
            </xs:annotation>
            <xs:complexType>
              <xs:sequence>
                <xs:element type="ReportSet" name="reportSet"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ReportSet">
        <xs:annotation>
          <xs:documentation source="version">4.0.0+</xs:documentation>
          <xs:documentation source="description">Represents a set of reports and configuration to be used to generate them.</xs:documentation>
        </xs:annotation>
        <xs:all>
          <xs:element minOccurs="0" name="id" type="xs:string" default="default">
            <xs:annotation>
              <xs:documentation source="version">0.0.0+</xs:documentation>
              <xs:documentation source="description">The unique id for this report set, to be used during POM inheritance and profile injection
            for merging of report sets.
          </xs:documentation>
            </xs:annotation>
          </xs:element>
          <xs:element minOccurs="0" name="reports">
            <xs:annotation>
              <xs:documentation source="version">4.0.0+</xs:documentation>
              <xs:documentation source="description">The list of reports from this plugin which should be generated from this set.</xs:documentation>
            </xs:annotation>
            <xs:complexType>
              <xs:sequence>
                <xs:element type="xs:string" name="report"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Profile">
        <xs:annotation>
          <xs:documentation source="version">4.0.0+</xs:documentation>
          <xs:documentation source="description">Modifications to the build process which is activated based on environmental
        parameters or command line arguments.</xs:documentation>
        </xs:annotation>
        <xs:all>
          <xs:element minOccurs="0" name="id" type="xs:string" default="default">
            <xs:annotation>
              <xs:documentation source="version">4.0.0+</xs:documentation>
              <xs:documentation source="description">The identifier of this build profile. This is used for command line
            activation, and identifies profiles to be merged.
          </xs:documentation>
            </xs:annotation>
          </xs:element>
          <xs:element minOccurs="0" name="activation" type="Activation">
            <xs:annotation>
              <xs:documentation source="version">4.0.0+</xs:documentation>
              <xs:documentation source="description">The conditional logic which will automatically trigger the inclusion of this
            profile.</xs:documentation>
            </xs:annotation>
          </xs:element>
          <xs:element minOccurs="0" name="build" type="BuildBase">
            <xs:annotation>
              <xs:documentation source="version">4.0.0+</xs:documentation>
              <xs:documentation source="description">Information required to build the project.</xs:documentation>
            </xs:annotation>
          </xs:element>
          <xs:element minOccurs="0" name="modules">
            <xs:annotation>
              <xs:documentation source="version">4.0.0+</xs:documentation>
              <xs:documentation source="description">The modules (sometimes called subprojects) to build as a part of this
            project. Each module listed is a relative path to the directory containing the module.
            To be consistent with the way default urls are calculated from parent, it is recommended
            to have module names match artifact ids.</xs:documentation>
            </xs:annotation>
            <xs:complexType>
              <xs:sequence>
                <xs:element type="xs:string" name="module" minOccurs="0" maxOccurs="unbounded"/>
              </xs:sequence>
            </xs:complexType>
          </xs:element>
          <xs:element minOccurs="0" name="distributionManagement" type="DistributionManagement">
            <xs:annotation>
              <xs:documentation source="version">4.0.0+</xs:documentation>
              <xs:documentation source="description">Distribution information for a project that enables deployment of the site
            and artifacts to remote web servers and repositories respectively.</xs:documentation>
            </xs:annotation>
          </xs:element>
          <xs:element minOccurs="0" name="properties">
            <xs:annotation>
              <xs:documentation source="version">4.0.0+</xs:documentation>
              <xs:documentation source="description">
            Properties that can be used throughout the POM as a substitution, and
            are used as filters in resources if enabled.
            The format is &lt;code&gt;&amp;lt;name&amp;gt;value&amp;lt;/name&amp;gt;&lt;/code&gt;.
          </xs:documentation>
            </xs:annotation>
            <xs:complexType>
              <xs:sequence>
                <xs:any minOccurs="0" maxOccurs="unbounded" processContents="skip"/>
              </xs:sequence>
            </xs:complexType>
          </xs:element>
          <xs:element minOccurs="0" name="dependencyManagement" type="DependencyManagement">
            <xs:annotation>
              <xs:documentation source="version">4.0.0+</xs:documentation>
              <xs:documentation source="description">Default dependency information for projects that inherit from this one. The
            dependencies in this section are not immediately resolved. Instead, when a POM derived
            from this one declares a dependency described by a matching groupId and artifactId, the
            version and other values from this section are used for that dependency if they were not
            already specified.</xs:documentation>
            </xs:annotation>
          </xs:element>
          <xs:element minOccurs="0" name="dependencies">
            <xs:annotation>
              <xs:documentation source="version">3.0.0+</xs:documentation>
              <xs:documentation source="description">
            This element describes all of the dependencies associated with a
            project.
            These dependencies are used to construct a classpath for your
            project during the build process. They are automatically downloaded from the
            repositories defined in this project.
            See &lt;a href="https://maven.apache.org/guides/introduction/introduction-to-dependency-mechanism.html"&gt;the
            dependency mechanism&lt;/a&gt; for more information.
          </xs:documentation>
            </xs:annotation>
            <xs:complexType>
              <xs:sequence>
                <xs:element type="Dependency" name="dependency" minOccurs="0" maxOccurs="unbounded"/>
              </xs:sequence>
            </xs:complexType>
          </xs:element>
          <xs:element minOccurs="0" name="repositories">
            <xs:annotation>
              <xs:documentation source="version">4.0.0+</xs:documentation>
              <xs:documentation source="description">The lists of the remote repositories for discovering dependencies and
            extensions.</xs:documentation>
            </xs:annotation>
            <xs:complexType>
              <xs:sequence>
                <xs:element type="Repository" name="repository" minOccurs="0" maxOccurs="unbounded"/>
              </xs:sequence>
            </xs:complexType>
          </xs:element>
          <xs:element minOccurs="0" name="pluginRepositories">
            <xs:annotation>
              <xs:documentation source="version">4.0.0+</xs:documentation>
              <xs:documentation source="description">The lists of the remote repositories for discovering plugins for builds and
            reports.</xs:documentation>
            </xs:annotation>
            <xs:complexType>
              <xs:sequence>
                <xs:element type="Repository" name="pluginRepository" minOccurs="0" maxOccurs="unbounded"/>
              </xs:sequence>
            </xs:complexType>
          </xs:element>
          <xs:element minOccurs="0" name="reports">
            <xs:annotation>
              <xs:documentation source="version">4.0.0+</xs:documentation>
              <xs:documentation source="description">
            &lt;b&gt;Deprecated&lt;/b&gt;. Now ignored by Maven.
          </xs:documentation>
            </xs:annotation>
            <xs:complexType>
              <xs:sequence>
                <xs:any minOccurs="0" maxOccurs="unbounded" processContents="skip"/>
              </xs:sequence>
            </xs:complexType>
          </xs:element>
          <xs:element minOccurs="0" name="reporting" type="Reporting">
            <xs:annotation>
              <xs:documentation source="version">4.0.0+</xs:documentation>
              <xs:documentation source="description">
            This element includes the specification of report plugins to use
            to generate the reports on the Maven-generated site.
            These reports will be run when a user executes &lt;code&gt;mvn site&lt;/code&gt;.
            All of the reports will be included in the navigation bar for browsing.
          </xs:documentation>
            </xs:annotation>
          </xs:element>
        </xs:all>
      </xs:complexType>
      <xs:complexType name="Activation">
        <xs:annotation>
          <xs:documentation source="version">4.0.0+</xs:documentation>
          <xs:documentation source="description">The conditions within the build runtime environment which will trigger the
        automatic inclusion of the build profile. Multiple conditions can be defined, which must
        be all satisfied to activate the profile.
      </xs:documentation>
        </xs:annotation>
        <xs:all>
          <xs:element minOccurs="0" name="activeByDefault" type="xs:boolean" default="false">
            <xs:annotation>
              <xs:documentation source="version">4.0.0+</xs:documentation>
              <xs:documentation source="description">If set to true, this profile will be active unless another profile in this
            pom is activated using the command line -P option or by one of that profile's
            activators.</xs:documentation>
            </xs:annotation>
          </xs:element>
          <xs:element minOccurs="0" name="jdk" type="xs:string">
            <xs:annotation>
              <xs:documentation source="version">4.0.0+</xs:documentation>
              <xs:documentation source="description">
            Specifies that this profile will be activated when a matching JDK is detected.
            For example, &lt;code&gt;1.4&lt;/code&gt; only activates on JDKs versioned 1.4,
            while &lt;code&gt;!1.4&lt;/code&gt; matches any JDK that is not version 1.4. Ranges are supported too:
            &lt;code&gt;[1.5,)&lt;/code&gt; activates when the JDK is 1.5 minimum.
          </xs:documentation>
            </xs:annotation>
          </xs:element>
          <xs:element minOccurs="0" name="os" type="ActivationOS">
            <xs:annotation>
              <xs:documentation source="version">4.0.0+</xs:documentation>
              <xs:documentation source="description">Specifies that this profile will be activated when matching operating system
            attributes are detected.</xs:documentation>
            </xs:annotation>
          </xs:element>
          <xs:element minOccurs="0" name="property" type="ActivationProperty">
            <xs:annotation>
              <xs:documentation source="version">4.0.0+</xs:documentation>
              <xs:documentation source="description">Specifies that this profile will be activated when this property is
            specified.</xs:documentation>
            </xs:annotation>
          </xs:element>
          <xs:element minOccurs="0" name="file" type="ActivationFile">
            <xs:annotation>
              <xs:documentation source="version">4.0.0+</xs:documentation>
              <xs:documentation source="description">Specifies that this profile will be activated based on existence of a file.</xs:documentation>
            </xs:annotation>
          </xs:element>
        </xs:all>
      </xs:complexType>
      <xs:complexType name="ActivationProperty">
        <xs:annotation>
          <xs:documentation source="version">4.0.0+</xs:documentation>
          <xs:documentation source="description">This is the property specification used to activate a profile. If the value field
        is empty, then the existence of the named property will activate the profile, otherwise it
        does a case-sensitive match against the property value as well.</xs:documentation>
        </xs:annotation>
        <xs:all>
          <xs:element minOccurs="0" name="name" type="xs:string">
            <xs:annotation>
              <xs:documentation source="version">4.0.0+</xs:documentation>
              <xs:documentation source="description">The name of the property to be used to activate a profile.</xs:documentation>
            </xs:annotation>
          </xs:element>
          <xs:element minOccurs="0" name="value" type="xs:string">
            <xs:annotation>
              <xs:documentation source="version">4.0.0+</xs:documentation>
              <xs:documentation source="description">The value of the property required to activate a profile.</xs:documentation>
            </xs:annotation>
          </xs:element>
        </xs:all>
      </xs:complexType>
      <xs:complexType name="ActivationFile">
        <xs:annotation>
          <xs:documentation source="version">4.0.0+</xs:documentation>
          <xs:documentation source="description">This is the file specification used to activate the profile. The &lt;code&gt;missing&lt;/code&gt; value
        is the location of a file that needs to exist, and if it doesn't, the profile will be
        activated. On the other hand, &lt;code&gt;exists&lt;/code&gt; will test for the existence of the file and if it is
        there, the profile will be activated.&lt;br&gt;
        Variable interpolation for these file specifications is limited to &lt;code&gt;${project.basedir}&lt;/code&gt;,
        system properties and user properties.</xs:documentation>
        </xs:annotation>
        <xs:all>
          <xs:element minOccurs="0" name="missing" type="xs:string">
            <xs:annotation>
              <xs:documentation source="version">4.0.0+</xs:documentation>
              <xs:documentation source="description">The name of the file that must be missing to activate the
          profile.</xs:documentation>
            </xs:annotation>
          </xs:element>
          <xs:element minOccurs="0" name="exists" type="xs:string">
            <xs:annotation>
              <xs:documentation source="version">4.0.0+</xs:documentation>
              <xs:documentation source="description">The name of the file that must exist to activate the profile.</xs:documentation>
            </xs:annotation>
          </xs:element>
        </xs:all>
      </xs:complexType>
      <xs:complexType name="ActivationOS">
        <xs:annotation>
          <xs:documentation source="version">4.0.0+</xs:documentation>
          <xs:documentation source="description">This is an activator which will detect an operating system's attributes in order
        to activate its profile.</xs:documentation>
        </xs:annotation>
        <xs:all>
          <xs:element minOccurs="0" name="name" type="xs:string">
            <xs:annotation>
              <xs:documentation source="version">4.0.0+</xs:documentation>
              <xs:documentation source="description">
            The name of the operating system to be used to activate the profile. This must be an exact match
            of the &lt;code&gt;${os.name}&lt;/code&gt; Java property, such as &lt;code&gt;Windows XP&lt;/code&gt;.
          </xs:documentation>
            </xs:annotation>
          </xs:element>
          <xs:element minOccurs="0" name="family" type="xs:string">
            <xs:annotation>
              <xs:documentation source="version">4.0.0+</xs:documentation>
              <xs:documentation source="description">
            The general family of the OS to be used to activate the profile, such as
            &lt;code&gt;windows&lt;/code&gt; or &lt;code&gt;unix&lt;/code&gt;.
          </xs:documentation>
            </xs:annotation>
          </xs:element>
          <xs:element minOccurs="0" name="arch" type="xs:string">
            <xs:annotation>
              <xs:documentation source="version">4.0.0+</xs:documentation>
              <xs:documentation source="description">The architecture of the operating system to be used to activate the
          profile.</xs:documentation>
            </xs:annotation>
          </xs:element>
          <xs:element minOccurs="0" name="version" type="xs:string">
            <xs:annotation>
              <xs:documentation source="version">4.0.0+</xs:documentation>
              <xs:documentation source="description">The version of the operating system to be used to activate the
          profile.</xs:documentation>
            </xs:annotation>
          </xs:element>
        </xs:all>
      </xs:complexType>
      <xs:complexType name="Repository">
        <xs:annotation>
          <xs:documentation source="version">4.0.0+</xs:documentation>
          <xs:documentation source="description">A repository contains the information needed for establishing connections with
        remote repository.</xs:documentation>
        </xs:annotation>
        <xs:all>
          <xs:element minOccurs="0" name="releases" type="RepositoryPolicy">
            <xs:annotation>
              <xs:documentation source="version">4.0.0+</xs:documentation>
              <xs:documentation source="description">How to handle downloading of releases from this repository.</xs:documentation>
            </xs:annotation>
          </xs:element>
          <xs:element minOccurs="0" name="snapshots" type="RepositoryPolicy">
            <xs:annotation>
              <xs:documentation source="version">4.0.0+</xs:documentation>
              <xs:documentation source="description">How to handle downloading of snapshots from this repository.</xs:documentation>
            </xs:annotation>
          </xs:element>
          <xs:element minOccurs="0" name="id" type="xs:string">
            <xs:annotation>
              <xs:documentation source="version">4.0.0+</xs:documentation>
              <xs:documentation source="description">
            A unique identifier for a repository. This is used to match the repository
            to configuration in the &lt;code&gt;settings.xml&lt;/code&gt; file, for example. Furthermore, the identifier is
            used during POM inheritance and profile injection to detect repositories that should be merged.
          </xs:documentation>
            </xs:annotation>
          </xs:element>
          <xs:element minOccurs="0" name="name" type="xs:string">
            <xs:annotation>
              <xs:documentation source="version">4.0.0+</xs:documentation>
              <xs:documentation source="description">Human readable name of the repository.</xs:documentation>
            </xs:annotation>
          </xs:element>
          <xs:element minOccurs="0" name="url" type="xs:string">
            <xs:annotation>
              <xs:documentation source="version">4.0.0+</xs:documentation>
              <xs:documentation source="description">
            The url of the repository, in the form &lt;code&gt;protocol://hostname/path&lt;/code&gt;.
          </xs:documentation>
            </xs:annotation>
          </xs:element>
          <xs:element minOccurs="0" name="layout" type="xs:string" default="default">
            <xs:annotation>
              <xs:documentation source="version">4.0.0+</xs:documentation>
              <xs:documentation source="description">
            The type of layout this repository uses for locating and storing artifacts -
            can be &lt;code&gt;legacy&lt;/code&gt; or &lt;code&gt;default&lt;/code&gt;.
          </xs:documentation>
            </xs:annotation>
          </xs:element>
        </xs:all>
      </xs:complexType>
      <xs:complexType name="BuildBase">
        <xs:annotation>
          <xs:documentation source="version">3.0.0+</xs:documentation>
          <xs:documentation source="description">Build configuration in a profile.</xs:documentation>
        </xs:annotation>
        <xs:all>
          <xs:element minOccurs="0" name="defaultGoal" type="xs:string">
            <xs:annotation>
              <xs:documentation source="version">3.0.0+</xs:documentation>
              <xs:documentation source="description">The default goal to execute when none is specified for
            the project. In a multi-module build, only the default goal of the top-level
            project is relevant. That is, the default goals of child modules are ignored.
            Multiple goals can be separated by whitespace.</xs:documentation>
            </xs:annotation>
          </xs:element>
          <xs:element minOccurs="0" name="resources">
            <xs:annotation>
              <xs:documentation source="version">3.0.0+</xs:documentation>
              <xs:documentation source="description">
            This element describes all of the classpath resources such as properties
            files associated with a project. These resources are often included in the final
            package.
            The default value is &lt;code&gt;src/main/resources&lt;/code&gt;.
          </xs:documentation>
            </xs:annotation>
            <xs:complexType>
              <xs:sequence>
                <xs:element type="Resource" name="resource" minOccurs="0" maxOccurs="unbounded"/>
              </xs:sequence>
            </xs:complexType>
          </xs:element>
          <xs:element minOccurs="0" name="testResources">
            <xs:annotation>
              <xs:documentation source="version">4.0.0+</xs:documentation>
              <xs:documentation source="description">
            This element describes all of the classpath resources such as properties
            files associated with a project's unit tests.
            The default value is &lt;code&gt;src/test/resources&lt;/code&gt;.
          </xs:documentation>
            </xs:annotation>
            <xs:complexType>
              <xs:sequence>
                <xs:element type="Resource" name="testResource" minOccurs="0" maxOccurs="unbounded"/>
              </xs:sequence>
            </xs:complexType>
          </xs:element>
          <xs:element minOccurs="0" name="directory" type="xs:string">
            <xs:annotation>
              <xs:documentation source="version">4.0.0+</xs:documentation>
              <xs:documentation source="description">
            The directory where all files generated by the build are placed.
            The default value is &lt;code&gt;target&lt;/code&gt;.
          </xs:documentation>
            </xs:annotation>
          </xs:element>
          <xs:element minOccurs="0" name="finalName" type="xs:string">
            <xs:annotation>
              <xs:documentation source="version">4.0.0+</xs:documentation>
              <xs:documentation source="description">
            The filename (excluding the extension, and with no path information) that
            the produced artifact will be called.
            The default value is &lt;code&gt;${artifactId}-${version}&lt;/code&gt;.
          </xs:documentation>
            </xs:annotation>
          </xs:element>
          <xs:element minOccurs="0" name="filters">
            <xs:annotation>
              <xs:documentation source="version">4.0.0+</xs:documentation>
              <xs:documentation source="description">The list of filter properties files that are used when filtering is enabled.</xs:documentation>
            </xs:annotation>
            <xs:complexType>
              <xs:sequence>
                <xs:element type="xs:string" name="filter" minOccurs="0" maxOccurs="unbounded"/>
              </xs:sequence>
            </xs:complexType>
          </xs:element>
          <xs:element minOccurs="0" name="pluginManagement" type="PluginManagement">
            <xs:annotation>
              <xs:documentation source="version">4.0.0+</xs:documentation>
              <xs:documentation source="description">Default plugin information to be made available for reference by projects
            derived from this one. This plugin configuration will not be resolved or bound to the
            lifecycle unless referenced. Any local configuration for a given plugin will override
            the plugin's entire definition here.</xs:documentation>
            </xs:annotation>
          </xs:element>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Plugin">
        <xs:annotation>
          <xs:documentation source="version">4.0.0+</xs:documentation>
          <xs:documentation source="description">
        The &lt;code&gt;&amp;lt;plugin&amp;gt;&lt;/code&gt; element contains informations required for a plugin.
      </xs:documentation>
        </xs:annotation>
        <xs:all>
          <xs:element minOccurs="0" name="groupId" type="xs:string" default="org.apache.maven.plugins">
            <xs:annotation>
              <xs:documentation source="version">4.0.0+</xs:documentation>
              <xs:documentation source="description">The group ID of the plugin in the repository.</xs:documentation>
            </xs:annotation>
          </xs:element>
          <xs:element minOccurs="0" name="artifactId" type="xs:string">
            <xs:annotation>
              <xs:documentation source="version">4.0.0+</xs:documentation>
              <xs:documentation source="description">The artifact ID of the plugin in the repository.</xs:documentation>
            </xs:annotation>
          </xs:element>
          <xs:element minOccurs="0" name="version" type="xs:string">
            <xs:annotation>
              <xs:documentation source="version">4.0.0+</xs:documentation>
              <xs:documentation source="description">The version (or valid range of versions) of the plugin to be used.</xs:documentation>
            </xs:annotation>
          </xs:element>
          <xs:element minOccurs="0" name="extensions" type="xs:string">
            <xs:annotation>
              <xs:documentation source="version">4.0.0+</xs:documentation>
              <xs:documentation source="description">
            Whether to load Maven extensions (such as packaging and type handlers) from
            this plugin. For performance reasons, this should only be enabled when necessary. Note: While the type
            of this field is &lt;code&gt;String&lt;/code&gt; for technical reasons, the semantic type is actually
            &lt;code&gt;Boolean&lt;/code&gt;. Default value is &lt;code&gt;false&lt;/code&gt;.
          </xs:documentation>
            </xs:annotation>
          </xs:element>
          <xs:element minOccurs="0" name="executions">
            <xs:annotation>
              <xs:documentation source="version">4.0.0+</xs:documentation>
              <xs:documentation source="description">Multiple specifications of a set of goals to execute during the build
            lifecycle, each having (possibly) a different configuration.</xs:documentation>
            </xs:annotation>
            <xs:complexType>
              <xs:sequence>
                <xs:element type="PluginExecution" name="execution" minOccurs="0" maxOccurs="unbounded"/>
              </xs:sequence>
            </xs:complexType>
          </xs:element>
          <xs:element minOccurs="0" name="dependencies">
            <xs:annotation>
              <xs:documentation source="version">4.0.0+</xs:documentation>
              <xs:documentation source="description">Additional dependencies that this project needs to introduce to the plugin's
            classloader.</xs:documentation>
            </xs:annotation>
            <xs:complexType>
              <xs:sequence>
                <xs:element type="Dependency" name="dependency" minOccurs="0" maxOccurs="unbounded"/>
              </xs:sequence>
            </xs:complexType>
          </xs:element>
          <xs:element minOccurs="0" name="goals">
            <xs:annotation>
              <xs:documentation source="version">4.0.0+</xs:documentation>
              <xs:documentation source="description">
            &lt;b&gt;Deprecated&lt;/b&gt;. Unused by Maven.
          </xs:documentation>
            </xs:annotation>
            <xs:complexType>
              <xs:sequence>
                <xs:any minOccurs="0" maxOccurs="unbounded" processContents="skip"/>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PluginExecution">
        <xs:annotation>
          <xs:documentation source="version">4.0.0+</xs:documentation>
          <xs:documentation source="description">
        The &lt;code&gt;&amp;lt;execution&amp;gt;&lt;/code&gt; element contains informations required for the
        execution of a plugin.
      </xs:documentation>
        </xs:annotation>
        <xs:all>
          <xs:element minOccurs="0" name="id" type="xs:string" default="default">
            <xs:annotation>
              <xs:documentation source="version">4.0.0+</xs:documentation>
              <xs:documentation source="description">The identifier of this execution for labelling the goals during the build,
            and for matching executions to merge during inheritance and profile injection.</xs:documentation>
            </xs:annotation>
          </xs:element>
          <xs:element minOccurs="0" name="phase" type="xs:string">
            <xs:annotation>
              <xs:documentation source="version">4.0.0+</xs:documentation>
              <xs:documentation source="description">The build lifecycle phase to bind the goals in this execution to. If omitted,
            the goals will be bound to the default phase specified by the plugin. </xs:documentation>
            </xs:annotation>
          </xs:element>
          <xs:element minOccurs="0" name="goals">
            <xs:annotation>
              <xs:documentation source="version">4.0.0+</xs:documentation>
              <xs:documentation source="description">The goals to execute with the given configuration.</xs:documentation>
            </xs:annotation>
            <xs:complexType>
              <xs:sequence>
                <xs:element type="xs:string" name="goal"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Resource">
        <xs:annotation>
          <xs:documentation source="version">3.0.0+</xs:documentation>
          <xs:documentation source="description">This element describes all of the classpath resources associated with a project
        or unit tests.</xs:documentation>
        </xs:annotation>
        <xs:all>
          <xs:element minOccurs="0" name="targetPath" type="xs:string">
            <xs:annotation>
              <xs:documentation source="version">3.0.0+</xs:documentation>
              <xs:documentation source="description">
            Describe the resource target path. The path is relative to the target/classes
            directory (i.e. &lt;code&gt;${project.build.outputDirectory}&lt;/code&gt;).
            For example, if you want that resource to appear in a specific package
            (&lt;code&gt;org.apache.maven.messages&lt;/code&gt;), you must specify this
            element with this value: &lt;code&gt;org/apache/maven/messages&lt;/code&gt;.
            This is not required if you simply put the resources in that directory
            structure at the source, however.
          </xs:documentation>
            </xs:annotation>
          </xs:element>
          <xs:element minOccurs="0" name="filtering" type="xs:string">
            <xs:annotation>
              <xs:documentation source="version">3.0.0+</xs:documentation>
              <xs:documentation source="description">
            Whether resources are filtered to replace tokens with parameterised values or not.
            The values are taken from the &lt;code&gt;properties&lt;/code&gt; element and from the
            properties in the files listed in the &lt;code&gt;filters&lt;/code&gt; element. Note: While the type
            of this field is &lt;code&gt;String&lt;/code&gt; for technical reasons, the semantic type is actually
            &lt;code&gt;Boolean&lt;/code&gt;. Default value is &lt;code&gt;false&lt;/code&gt;.
          </xs:documentation>
            </xs:annotation>
          </xs:element>
          <xs:element minOccurs="0" name="directory" type="xs:string">
            <xs:annotation>
              <xs:documentation source="version">3.0.0+</xs:documentation>
              <xs:documentation source="description">Describe the directory where the resources are stored. The path is relative
            to the POM.</xs:documentation>
            </xs:annotation>
          </xs:element>
          <xs:element minOccurs="0" name="includes">
            <xs:annotation>
              <xs:documentation source="version">3.0.0+</xs:documentation>
              <xs:documentation source="description">
            A list of patterns to include, e.g. &lt;code&gt;**&amp;#47;*.xml&lt;/code&gt;.
          </xs:documentation>
            </xs:annotation>
            <xs:complexType>
              <xs:sequence>
                <xs:element type="xs:string" name="include" minOccurs="0" maxOccurs="unbounded"/>
              </xs:sequence>
            </xs:complexType>
          </xs:element>
          <xs:element minOccurs="0" name="excludes">
            <xs:annotation>
              <xs:documentation source="version">3.0.0+</xs:documentation>
              <xs:documentation source="description">
            A list of patterns to exclude, e.g. &lt;code&gt;**&amp;#47;*.xml&lt;/code&gt;
          </xs:documentation>
            </xs:annotation>
            <xs:complexType>
              <xs:sequence>
                <xs:element type="xs:string" name="exclude" minOccurs="0" maxOccurs="unbounded"/>
              </xs:sequence>
            </xs:complexType>
          </xs:element>
        </xs:all>
      </xs:complexType>
      <xs:complexType name="PluginManagement">
        <xs:annotation>
          <xs:documentation source="version">4.0.0+</xs:documentation>
          <xs:documentation source="description">Section for management of default plugin information for use in a group of POMs.
      </xs:documentation>
        </xs:annotation>
        <xs:all>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Prerequisites">
        <xs:annotation>
          <xs:documentation source="version">4.0.0+</xs:documentation>
          <xs:documentation source="description">Describes the prerequisites a project can have.</xs:documentation>
        </xs:annotation>
        <xs:all>
          <xs:element minOccurs="0" name="maven" type="xs:string" default="2.0">
            <xs:annotation>
              <xs:documentation source="version">4.0.0+</xs:documentation>
              <xs:documentation source="description">
            For a plugin project (packaging is &lt;code&gt;maven-plugin&lt;/code&gt;), the minimum version of
            Maven required to use the resulting plugin.
          </xs:documentation>
            </xs:annotation>
          </xs:element>
        </xs:all>
      </xs:complexType>
      <xs:complexType name="Build">
        <xs:annotation>
          <xs:documentation source="version">3.0.0+</xs:documentation>
          <xs:documentation source="description">
        The &lt;code&gt;&amp;lt;build&amp;gt;&lt;/code&gt; element contains informations required to build the project.
        Default values are defined in Super POM.
      </xs:documentation>
        </xs:annotation>
        <xs:all>
          <xs:element minOccurs="0" name="sourceDirectory" type="xs:string">
            <xs:annotation>
              <xs:documentation source="version">3.0.0+</xs:documentation>
              <xs:documentation source="description">
            This element specifies a directory containing the source of the project. The
            generated build system will compile the sources from this directory when the project is
            built. The path given is relative to the project descriptor.
            The default value is &lt;code&gt;src/main/java&lt;/code&gt;.
          </xs:documentation>
            </xs:annotation>
          </xs:element>
          <xs:element minOccurs="0" name="scriptSourceDirectory" type="xs:string">
            <xs:annotation>
              <xs:documentation source="version">4.0.0+</xs:documentation>
              <xs:documentation source="description">
            This element specifies a directory containing the script sources of the
            project. This directory is meant to be different from the sourceDirectory, in that its
            contents will be copied to the output directory in most cases (since scripts are
            interpreted rather than compiled).
            The default value is &lt;code&gt;src/main/scripts&lt;/code&gt;.
          </xs:documentation>
            </xs:annotation>
          </xs:element>
          <xs:element minOccurs="0" name="testSourceDirectory" type="xs:string">
            <xs:annotation>
              <xs:documentation source="version">4.0.0+</xs:documentation>
              <xs:documentation source="description">
            This element specifies a directory containing the unit test source of the
            project. The generated build system will compile these directories when the project is
            being tested. The path given is relative to the project descriptor.
            The default value is &lt;code&gt;src/test/java&lt;/code&gt;.
          </xs:documentation>
            </xs:annotation>
          </xs:element>
          <xs:element minOccurs="0" name="outputDirectory" type="xs:string">
            <xs:annotation>
              <xs:documentation source="version">4.0.0+</xs:documentation>
              <xs:documentation source="description">
            The directory where compiled application classes are placed.
            The default value is &lt;code&gt;target/classes&lt;/code&gt;.
          </xs:documentation>
            </xs:annotation>
          </xs:element>
          <xs:element minOccurs="0" name="testOutputDirectory" type="xs:string">
            <xs:annotation>
              <xs:documentation source="version">4.0.0+</xs:documentation>
              <xs:documentation source="description">
            The directory where compiled test classes are placed.
            The default value is &lt;code&gt;target/test-classes&lt;/code&gt;.
          </xs:documentation>
            </xs:annotation>
          </xs:element>
          <xs:element minOccurs="0" name="extensions">
            <xs:annotation>
              <xs:documentation source="version">4.0.0+</xs:documentation>
              <xs:documentation source="description">A set of build extensions to use from this project.</xs:documentation>
            </xs:annotation>
            <xs:complexType>
              <xs:sequence>
                <xs:element type="Extension" name="extension" minOccurs="0" maxOccurs="unbounded"/>
              </xs:sequence>
            </xs:complexType>
          </xs:element>
          <xs:element minOccurs="0" name="defaultGoal" type="xs:string">
            <xs:annotation>
              <xs:documentation source="version">3.0.0+</xs:documentation>
              <xs:documentation source="description">The default goal to execute when none is specified for
            the project. In a multi-module build, only the default goal of the top-level
            project is relevant. That is, the default goals of child modules are ignored.
            Multiple goals can be separated by whitespace.</xs:documentation>
            </xs:annotation>
          </xs:element>
          <xs:element minOccurs="0" name="resources">
            <xs:annotation>
              <xs:documentation source="version">3.0.0+</xs:documentation>
              <xs:documentation source="description">
            This element describes all of the classpath resources such as properties
            files associated with a project. These resources are often included in the final
            package.
            The default value is &lt;code&gt;src/main/resources&lt;/code&gt;.
          </xs:documentation>
            </xs:annotation>
            <xs:complexType>
              <xs:sequence>
                <xs:element type="Resource" name="resource" minOccurs="0" maxOccurs="unbounded"/>
              </xs:sequence>
            </xs:complexType>
          </xs:element>
          <xs:element minOccurs="0" name="testResources">
            <xs:annotation>
              <xs:documentation source="version">4.0.0+</xs:documentation>
              <xs:documentation source="description">
            This element describes all of the classpath resources such as properties
            files associated with a project's unit tests.
            The default value is &lt;code&gt;src/test/resources&lt;/code&gt;.
          </xs:documentation>
            </xs:annotation>
            <xs:complexType>
              <xs:sequence>
                <xs:element type="Resource" name="testResource" minOccurs="0" maxOccurs="unbounded"/>
              </xs:sequence>
            </xs:complexType>
          </xs:element>
          <xs:element minOccurs="0" name="directory" type="xs:string">
            <xs:annotation>
              <xs:documentation source="version">4.0.0+</xs:documentation>
              <xs:documentation source="description">
            The directory where all files generated by the build are placed.
            The default value is &lt;code&gt;target&lt;/code&gt;.
          </xs:documentation>
            </xs:annotation>
          </xs:element>
          <xs:element minOccurs="0" name="finalName" type="xs:string">
            <xs:annotation>
              <xs:documentation source="version">4.0.0+</xs:documentation>
              <xs:documentation source="description">
            The filename (excluding the extension, and with no path information) that
            the produced artifact will be called.
            The default value is &lt;code&gt;${artifactId}-${version}&lt;/code&gt;.
          </xs:documentation>
            </xs:annotation>
          </xs:element>
          <xs:element minOccurs="0" name="filters">
            <xs:annotation>
              <xs:documentation source="version">4.0.0+</xs:documentation>
              <xs:documentation source="description">The list of filter properties files that are used when filtering is enabled.</xs:documentation>
            </xs:annotation>
            <xs:complexType>
              <xs:sequence>
                <xs:element type="xs:string" name="filter" minOccurs="0" maxOccurs="unbounded"/>
              </xs:sequence>
            </xs:complexType>
          </xs:element>
          <xs:element minOccurs="0" name="pluginManagement" type="PluginManagement">
            <xs:annotation>
              <xs:documentation source="version">4.0.0+</xs:documentation>
              <xs:documentation source="description">Default plugin information to be made available for reference by projects
            derived from this one. This plugin configuration will not be resolved or bound to the
            lifecycle unless referenced. Any local configuration for a given plugin will override
            the plugin's entire definition here.</xs:documentation>
            </xs:annotation>
          </xs:element>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Extension">
        <xs:annotation>
          <xs:documentation source="version">4.0.0+</xs:documentation>
          <xs:documentation source="description">Describes a build extension to utilise.</xs:documentation>
        </xs:annotation>
        <xs:all>
          <xs:element minOccurs="0" name="groupId" type="xs:string">
            <xs:annotation>
              <xs:documentation source="version">4.0.0+</xs:documentation>
              <xs:documentation source="description">The group ID of the extension's artifact.</xs:documentation>
            </xs:annotation>
          </xs:element>
          <xs:element minOccurs="0" name="artifactId" type="xs:string">
            <xs:annotation>
              <xs:documentation source="version">4.0.0+</xs:documentation>
              <xs:documentation source="description">The artifact ID of the extension.</xs:documentation>
            </xs:annotation>
          </xs:element>
          <xs:element minOccurs="0" name="version" type="xs:string">
            <xs:annotation>
              <xs:documentation source="version">4.0.0+</xs:documentation>
              <xs:documentation source="description">The version of the extension.</xs:documentation>
            </xs:annotation>
          </xs:element>
        </xs:all>
      </xs:complexType>
    </xs:schema>
  </Schema>
  <Map ID="2" Name="project_Map" RootElement="project" SchemaID="Schema1" ShowImportExportValidationErrors="false" AutoFit="true" Append="false" PreserveSortAFLayout="true" PreserveFormat="true">
    <DataBinding FileBinding="true" ConnectionID="2"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C4502-6D22-4A6B-9382-DAF35278831F}">
  <dimension ref="A1:R1001"/>
  <sheetViews>
    <sheetView tabSelected="1" topLeftCell="C1" workbookViewId="0">
      <selection activeCell="S15" sqref="S15"/>
    </sheetView>
  </sheetViews>
  <sheetFormatPr defaultRowHeight="14.4" x14ac:dyDescent="0.3"/>
  <cols>
    <col min="2" max="2" width="18.44140625" customWidth="1"/>
    <col min="3" max="3" width="25.21875" customWidth="1"/>
    <col min="4" max="4" width="15.6640625" customWidth="1"/>
    <col min="5" max="5" width="21.33203125" customWidth="1"/>
    <col min="6" max="6" width="9.77734375" customWidth="1"/>
    <col min="7" max="7" width="11.21875" customWidth="1"/>
    <col min="8" max="8" width="8.77734375" customWidth="1"/>
    <col min="9" max="10" width="13.44140625" customWidth="1"/>
    <col min="11" max="12" width="11.77734375" customWidth="1"/>
    <col min="13" max="13" width="10.21875" customWidth="1"/>
    <col min="14" max="14" width="9.77734375" customWidth="1"/>
    <col min="15" max="15" width="6.77734375" customWidth="1"/>
    <col min="17" max="17" width="9.77734375" customWidth="1"/>
    <col min="18" max="18" width="9.33203125" customWidth="1"/>
    <col min="19" max="19" width="11.6640625" customWidth="1"/>
    <col min="20" max="20" width="21.88671875" customWidth="1"/>
    <col min="21" max="21" width="11.77734375" bestFit="1" customWidth="1"/>
    <col min="22" max="22" width="29.77734375" customWidth="1"/>
    <col min="23" max="23" width="11.77734375" bestFit="1" customWidth="1"/>
    <col min="29" max="29" width="13.44140625" bestFit="1" customWidth="1"/>
    <col min="33" max="33" width="34.21875" bestFit="1" customWidth="1"/>
    <col min="34" max="34" width="18.21875" bestFit="1" customWidth="1"/>
    <col min="35" max="36" width="23.109375" bestFit="1" customWidth="1"/>
    <col min="37" max="37" width="12.6640625" bestFit="1" customWidth="1"/>
    <col min="38" max="38" width="16.77734375" bestFit="1" customWidth="1"/>
    <col min="39" max="39" width="28.5546875" bestFit="1" customWidth="1"/>
    <col min="40" max="40" width="25" bestFit="1" customWidth="1"/>
    <col min="41" max="41" width="14.5546875" bestFit="1" customWidth="1"/>
    <col min="42" max="42" width="14.77734375" bestFit="1" customWidth="1"/>
    <col min="43" max="43" width="25" bestFit="1" customWidth="1"/>
    <col min="44" max="44" width="16" bestFit="1" customWidth="1"/>
    <col min="45" max="45" width="8.77734375" bestFit="1" customWidth="1"/>
    <col min="46" max="46" width="18.21875" bestFit="1" customWidth="1"/>
    <col min="47" max="47" width="12.21875" bestFit="1" customWidth="1"/>
    <col min="48" max="48" width="9.77734375" bestFit="1" customWidth="1"/>
    <col min="49" max="49" width="12.21875" bestFit="1" customWidth="1"/>
    <col min="50" max="50" width="9.77734375" bestFit="1" customWidth="1"/>
    <col min="51" max="51" width="16.44140625" bestFit="1" customWidth="1"/>
    <col min="52" max="52" width="15.44140625" bestFit="1" customWidth="1"/>
    <col min="53" max="53" width="8.109375" bestFit="1" customWidth="1"/>
    <col min="54" max="54" width="12.21875" bestFit="1" customWidth="1"/>
    <col min="55" max="55" width="11.109375" bestFit="1" customWidth="1"/>
    <col min="56" max="56" width="10.77734375" bestFit="1" customWidth="1"/>
    <col min="57" max="57" width="17.109375" bestFit="1" customWidth="1"/>
    <col min="58" max="58" width="19.6640625" bestFit="1" customWidth="1"/>
    <col min="59" max="59" width="9.77734375" bestFit="1" customWidth="1"/>
    <col min="60" max="60" width="14.33203125" bestFit="1" customWidth="1"/>
    <col min="61" max="61" width="13.21875" bestFit="1" customWidth="1"/>
    <col min="62" max="62" width="13.109375" bestFit="1" customWidth="1"/>
    <col min="63" max="63" width="10.77734375" bestFit="1" customWidth="1"/>
    <col min="64" max="64" width="19.109375" bestFit="1" customWidth="1"/>
    <col min="65" max="65" width="21.6640625" bestFit="1" customWidth="1"/>
    <col min="66" max="66" width="11.77734375" bestFit="1" customWidth="1"/>
    <col min="67" max="67" width="16.44140625" bestFit="1" customWidth="1"/>
    <col min="68" max="68" width="13.21875" bestFit="1" customWidth="1"/>
    <col min="69" max="69" width="14.44140625" bestFit="1" customWidth="1"/>
    <col min="70" max="70" width="16.77734375" bestFit="1" customWidth="1"/>
    <col min="71" max="71" width="10.21875" bestFit="1" customWidth="1"/>
    <col min="72" max="72" width="12.5546875" bestFit="1" customWidth="1"/>
    <col min="73" max="73" width="17.44140625" bestFit="1" customWidth="1"/>
    <col min="74" max="74" width="12.21875" bestFit="1" customWidth="1"/>
    <col min="75" max="75" width="12.88671875" bestFit="1" customWidth="1"/>
    <col min="76" max="76" width="38.6640625" bestFit="1" customWidth="1"/>
    <col min="77" max="77" width="47.44140625" bestFit="1" customWidth="1"/>
    <col min="78" max="78" width="31.5546875" bestFit="1" customWidth="1"/>
    <col min="79" max="79" width="15.88671875" bestFit="1" customWidth="1"/>
    <col min="80" max="80" width="24.77734375" bestFit="1" customWidth="1"/>
    <col min="81" max="81" width="9.21875" bestFit="1" customWidth="1"/>
    <col min="82" max="82" width="10.77734375" bestFit="1" customWidth="1"/>
    <col min="83" max="83" width="12.44140625" bestFit="1" customWidth="1"/>
    <col min="84" max="84" width="10.77734375" bestFit="1" customWidth="1"/>
    <col min="85" max="85" width="14.44140625" bestFit="1" customWidth="1"/>
    <col min="86" max="86" width="10.77734375" bestFit="1" customWidth="1"/>
    <col min="87" max="87" width="10.21875" bestFit="1" customWidth="1"/>
    <col min="88" max="88" width="17.33203125" bestFit="1" customWidth="1"/>
    <col min="89" max="89" width="18.77734375" bestFit="1" customWidth="1"/>
    <col min="90" max="90" width="19.44140625" bestFit="1" customWidth="1"/>
    <col min="91" max="91" width="20.21875" bestFit="1" customWidth="1"/>
    <col min="92" max="92" width="13.109375" bestFit="1" customWidth="1"/>
    <col min="93" max="93" width="18.77734375" bestFit="1" customWidth="1"/>
    <col min="94" max="94" width="13.21875" bestFit="1" customWidth="1"/>
    <col min="95" max="95" width="17.44140625" bestFit="1" customWidth="1"/>
    <col min="96" max="96" width="19.77734375" bestFit="1" customWidth="1"/>
    <col min="97" max="97" width="15.33203125" bestFit="1" customWidth="1"/>
    <col min="98" max="98" width="19.5546875" bestFit="1" customWidth="1"/>
    <col min="99" max="99" width="21.77734375" bestFit="1" customWidth="1"/>
    <col min="100" max="100" width="10.109375" bestFit="1" customWidth="1"/>
    <col min="101" max="101" width="13.21875" bestFit="1" customWidth="1"/>
    <col min="102" max="102" width="10.77734375" bestFit="1" customWidth="1"/>
    <col min="103" max="103" width="11.77734375" bestFit="1" customWidth="1"/>
    <col min="104" max="104" width="20.88671875" bestFit="1" customWidth="1"/>
    <col min="105" max="105" width="15.33203125" bestFit="1" customWidth="1"/>
    <col min="106" max="106" width="19.5546875" bestFit="1" customWidth="1"/>
    <col min="107" max="107" width="21.77734375" bestFit="1" customWidth="1"/>
    <col min="108" max="108" width="15.33203125" bestFit="1" customWidth="1"/>
    <col min="109" max="109" width="19.5546875" bestFit="1" customWidth="1"/>
    <col min="110" max="110" width="21.77734375" bestFit="1" customWidth="1"/>
    <col min="111" max="111" width="10.109375" bestFit="1" customWidth="1"/>
    <col min="112" max="112" width="13.21875" bestFit="1" customWidth="1"/>
    <col min="113" max="113" width="10.77734375" bestFit="1" customWidth="1"/>
    <col min="114" max="114" width="13.77734375" bestFit="1" customWidth="1"/>
    <col min="115" max="115" width="31.21875" bestFit="1" customWidth="1"/>
    <col min="116" max="116" width="10.109375" bestFit="1" customWidth="1"/>
    <col min="117" max="117" width="13.21875" bestFit="1" customWidth="1"/>
    <col min="118" max="118" width="10.77734375" bestFit="1" customWidth="1"/>
    <col min="119" max="119" width="17.44140625" bestFit="1" customWidth="1"/>
    <col min="120" max="120" width="15.21875" bestFit="1" customWidth="1"/>
    <col min="121" max="121" width="16.33203125" bestFit="1" customWidth="1"/>
    <col min="122" max="122" width="14.6640625" bestFit="1" customWidth="1"/>
    <col min="123" max="123" width="13.77734375" bestFit="1" customWidth="1"/>
    <col min="124" max="124" width="11.77734375" bestFit="1" customWidth="1"/>
    <col min="125" max="125" width="15.21875" bestFit="1" customWidth="1"/>
    <col min="126" max="126" width="16.33203125" bestFit="1" customWidth="1"/>
    <col min="127" max="127" width="14.6640625" bestFit="1" customWidth="1"/>
    <col min="128" max="128" width="12.21875" bestFit="1" customWidth="1"/>
    <col min="129" max="129" width="13.77734375" bestFit="1" customWidth="1"/>
    <col min="130" max="130" width="11.33203125" bestFit="1" customWidth="1"/>
    <col min="131" max="131" width="16.44140625" bestFit="1" customWidth="1"/>
    <col min="132" max="132" width="15.21875" bestFit="1" customWidth="1"/>
    <col min="133" max="133" width="16.33203125" bestFit="1" customWidth="1"/>
    <col min="134" max="134" width="13.5546875" bestFit="1" customWidth="1"/>
    <col min="135" max="135" width="23.109375" bestFit="1" customWidth="1"/>
    <col min="136" max="136" width="24.44140625" bestFit="1" customWidth="1"/>
    <col min="137" max="137" width="14.6640625" bestFit="1" customWidth="1"/>
    <col min="138" max="138" width="12.21875" customWidth="1"/>
    <col min="139" max="139" width="15.77734375" bestFit="1" customWidth="1"/>
    <col min="140" max="140" width="13.33203125" bestFit="1" customWidth="1"/>
    <col min="141" max="141" width="18.44140625" bestFit="1" customWidth="1"/>
    <col min="142" max="142" width="15.21875" bestFit="1" customWidth="1"/>
    <col min="143" max="143" width="16.33203125" bestFit="1" customWidth="1"/>
    <col min="144" max="144" width="15.6640625" bestFit="1" customWidth="1"/>
    <col min="145" max="145" width="15.33203125" bestFit="1" customWidth="1"/>
    <col min="146" max="146" width="19.5546875" bestFit="1" customWidth="1"/>
    <col min="147" max="147" width="21.77734375" bestFit="1" customWidth="1"/>
    <col min="148" max="148" width="15.33203125" bestFit="1" customWidth="1"/>
    <col min="149" max="149" width="19.5546875" bestFit="1" customWidth="1"/>
    <col min="150" max="150" width="21.77734375" bestFit="1" customWidth="1"/>
    <col min="151" max="151" width="10.109375" bestFit="1" customWidth="1"/>
    <col min="152" max="152" width="13.21875" bestFit="1" customWidth="1"/>
    <col min="153" max="153" width="10.77734375" bestFit="1" customWidth="1"/>
    <col min="154" max="154" width="13.77734375" bestFit="1" customWidth="1"/>
    <col min="155" max="155" width="15.33203125" bestFit="1" customWidth="1"/>
    <col min="156" max="156" width="19.5546875" bestFit="1" customWidth="1"/>
    <col min="157" max="157" width="21.77734375" bestFit="1" customWidth="1"/>
    <col min="158" max="158" width="15.33203125" bestFit="1" customWidth="1"/>
    <col min="159" max="159" width="19.5546875" bestFit="1" customWidth="1"/>
    <col min="160" max="160" width="21.77734375" bestFit="1" customWidth="1"/>
    <col min="161" max="161" width="10.109375" bestFit="1" customWidth="1"/>
    <col min="162" max="162" width="13.21875" bestFit="1" customWidth="1"/>
    <col min="163" max="163" width="10.77734375" bestFit="1" customWidth="1"/>
    <col min="164" max="164" width="13.77734375" bestFit="1" customWidth="1"/>
    <col min="165" max="165" width="20" bestFit="1" customWidth="1"/>
    <col min="166" max="166" width="24.77734375" bestFit="1" customWidth="1"/>
    <col min="167" max="167" width="23.44140625" bestFit="1" customWidth="1"/>
    <col min="168" max="168" width="20.21875" bestFit="1" customWidth="1"/>
    <col min="169" max="169" width="23.88671875" bestFit="1" customWidth="1"/>
    <col min="170" max="170" width="15.21875" bestFit="1" customWidth="1"/>
    <col min="171" max="171" width="16.33203125" bestFit="1" customWidth="1"/>
    <col min="172" max="172" width="14.6640625" bestFit="1" customWidth="1"/>
    <col min="173" max="173" width="16.44140625" bestFit="1" customWidth="1"/>
    <col min="174" max="174" width="15.6640625" bestFit="1" customWidth="1"/>
    <col min="175" max="175" width="13" bestFit="1" customWidth="1"/>
    <col min="176" max="176" width="14.109375" bestFit="1" customWidth="1"/>
    <col min="177" max="177" width="12.5546875" bestFit="1" customWidth="1"/>
    <col min="178" max="178" width="12.88671875" bestFit="1" customWidth="1"/>
    <col min="179" max="179" width="17.6640625" bestFit="1" customWidth="1"/>
    <col min="180" max="180" width="15" bestFit="1" customWidth="1"/>
    <col min="181" max="181" width="16.21875" bestFit="1" customWidth="1"/>
    <col min="182" max="182" width="14.5546875" bestFit="1" customWidth="1"/>
    <col min="183" max="183" width="14.88671875" bestFit="1" customWidth="1"/>
    <col min="184" max="184" width="16.21875" bestFit="1" customWidth="1"/>
    <col min="185" max="185" width="15.21875" bestFit="1" customWidth="1"/>
    <col min="186" max="186" width="10.5546875" bestFit="1" customWidth="1"/>
    <col min="187" max="187" width="15.21875" bestFit="1" customWidth="1"/>
    <col min="188" max="188" width="16.33203125" bestFit="1" customWidth="1"/>
    <col min="189" max="189" width="14.6640625" bestFit="1" customWidth="1"/>
    <col min="190" max="190" width="15.6640625" bestFit="1" customWidth="1"/>
    <col min="191" max="191" width="10.109375" bestFit="1" customWidth="1"/>
    <col min="192" max="192" width="11.5546875" bestFit="1" customWidth="1"/>
    <col min="193" max="193" width="10" bestFit="1" customWidth="1"/>
    <col min="194" max="194" width="14.21875" bestFit="1" customWidth="1"/>
    <col min="195" max="195" width="15.21875" bestFit="1" customWidth="1"/>
    <col min="196" max="196" width="16.33203125" bestFit="1" customWidth="1"/>
    <col min="197" max="197" width="14.6640625" bestFit="1" customWidth="1"/>
    <col min="198" max="198" width="12.21875" customWidth="1"/>
    <col min="199" max="199" width="15.77734375" bestFit="1" customWidth="1"/>
    <col min="200" max="200" width="14.33203125" bestFit="1" customWidth="1"/>
    <col min="201" max="201" width="19.5546875" bestFit="1" customWidth="1"/>
    <col min="202" max="202" width="16.21875" bestFit="1" customWidth="1"/>
    <col min="203" max="203" width="17.33203125" bestFit="1" customWidth="1"/>
    <col min="204" max="204" width="16.6640625" bestFit="1" customWidth="1"/>
    <col min="205" max="205" width="17.21875" bestFit="1" customWidth="1"/>
    <col min="206" max="206" width="23.109375" bestFit="1" customWidth="1"/>
    <col min="207" max="207" width="22.77734375" bestFit="1" customWidth="1"/>
    <col min="208" max="208" width="15.77734375" bestFit="1" customWidth="1"/>
    <col min="209" max="209" width="18.6640625" bestFit="1" customWidth="1"/>
    <col min="210" max="210" width="11.109375" bestFit="1" customWidth="1"/>
    <col min="211" max="211" width="14.5546875" bestFit="1" customWidth="1"/>
    <col min="212" max="212" width="13" bestFit="1" customWidth="1"/>
    <col min="213" max="213" width="17.21875" bestFit="1" customWidth="1"/>
    <col min="214" max="214" width="16.21875" bestFit="1" customWidth="1"/>
    <col min="215" max="215" width="17.33203125" bestFit="1" customWidth="1"/>
    <col min="216" max="216" width="15.77734375" bestFit="1" customWidth="1"/>
    <col min="217" max="217" width="13.21875" bestFit="1" customWidth="1"/>
    <col min="218" max="218" width="16.77734375" bestFit="1" customWidth="1"/>
    <col min="219" max="219" width="14.33203125" bestFit="1" customWidth="1"/>
    <col min="220" max="220" width="19.5546875" bestFit="1" customWidth="1"/>
    <col min="221" max="221" width="16.21875" bestFit="1" customWidth="1"/>
    <col min="222" max="222" width="17.33203125" bestFit="1" customWidth="1"/>
    <col min="223" max="223" width="16.6640625" bestFit="1" customWidth="1"/>
    <col min="224" max="224" width="17.21875" bestFit="1" customWidth="1"/>
    <col min="225" max="225" width="20.109375" bestFit="1" customWidth="1"/>
    <col min="226" max="226" width="23.33203125" bestFit="1" customWidth="1"/>
    <col min="227" max="227" width="16.21875" bestFit="1" customWidth="1"/>
    <col min="228" max="228" width="17.33203125" bestFit="1" customWidth="1"/>
    <col min="229" max="229" width="15.77734375" bestFit="1" customWidth="1"/>
    <col min="230" max="230" width="11.109375" bestFit="1" customWidth="1"/>
    <col min="231" max="231" width="11.88671875" bestFit="1" customWidth="1"/>
    <col min="232" max="233" width="17.21875" bestFit="1" customWidth="1"/>
    <col min="234" max="234" width="11.109375" bestFit="1" customWidth="1"/>
    <col min="235" max="235" width="19.77734375" bestFit="1" customWidth="1"/>
    <col min="236" max="236" width="9.21875" bestFit="1" customWidth="1"/>
    <col min="237" max="237" width="14.21875" bestFit="1" customWidth="1"/>
    <col min="238" max="238" width="11.6640625" bestFit="1" customWidth="1"/>
    <col min="239" max="239" width="10.21875" bestFit="1" customWidth="1"/>
    <col min="240" max="240" width="15.77734375" bestFit="1" customWidth="1"/>
    <col min="241" max="241" width="14.21875" bestFit="1" customWidth="1"/>
    <col min="242" max="242" width="11" bestFit="1" customWidth="1"/>
    <col min="243" max="243" width="12.77734375" bestFit="1" customWidth="1"/>
    <col min="244" max="244" width="11.21875" bestFit="1" customWidth="1"/>
    <col min="245" max="245" width="19.5546875" bestFit="1" customWidth="1"/>
    <col min="246" max="246" width="18.6640625" bestFit="1" customWidth="1"/>
    <col min="247" max="247" width="16.109375" bestFit="1" customWidth="1"/>
    <col min="248" max="248" width="17.21875" bestFit="1" customWidth="1"/>
    <col min="249" max="249" width="15.6640625" bestFit="1" customWidth="1"/>
    <col min="250" max="250" width="16" bestFit="1" customWidth="1"/>
    <col min="251" max="251" width="18.6640625" bestFit="1" customWidth="1"/>
    <col min="252" max="252" width="16.109375" bestFit="1" customWidth="1"/>
    <col min="253" max="253" width="17.21875" bestFit="1" customWidth="1"/>
    <col min="254" max="254" width="15.6640625" bestFit="1" customWidth="1"/>
    <col min="255" max="255" width="16" bestFit="1" customWidth="1"/>
    <col min="256" max="256" width="17.21875" bestFit="1" customWidth="1"/>
    <col min="257" max="257" width="18.21875" bestFit="1" customWidth="1"/>
    <col min="258" max="258" width="13.5546875" bestFit="1" customWidth="1"/>
    <col min="259" max="259" width="16.21875" bestFit="1" customWidth="1"/>
    <col min="260" max="260" width="17.33203125" bestFit="1" customWidth="1"/>
    <col min="261" max="261" width="15.77734375" bestFit="1" customWidth="1"/>
    <col min="262" max="262" width="18.6640625" bestFit="1" customWidth="1"/>
    <col min="263" max="263" width="11.109375" bestFit="1" customWidth="1"/>
    <col min="264" max="264" width="14.5546875" bestFit="1" customWidth="1"/>
    <col min="265" max="265" width="13" bestFit="1" customWidth="1"/>
    <col min="266" max="266" width="17.21875" bestFit="1" customWidth="1"/>
    <col min="267" max="267" width="16.21875" bestFit="1" customWidth="1"/>
    <col min="268" max="268" width="17.33203125" bestFit="1" customWidth="1"/>
    <col min="269" max="269" width="15.77734375" bestFit="1" customWidth="1"/>
    <col min="270" max="270" width="13.21875" bestFit="1" customWidth="1"/>
    <col min="271" max="271" width="16.77734375" bestFit="1" customWidth="1"/>
    <col min="272" max="272" width="14.33203125" bestFit="1" customWidth="1"/>
    <col min="273" max="273" width="19.5546875" bestFit="1" customWidth="1"/>
    <col min="274" max="274" width="16.21875" bestFit="1" customWidth="1"/>
    <col min="275" max="275" width="17.33203125" bestFit="1" customWidth="1"/>
    <col min="276" max="276" width="16.6640625" bestFit="1" customWidth="1"/>
    <col min="277" max="277" width="17.21875" bestFit="1" customWidth="1"/>
    <col min="278" max="278" width="16.21875" bestFit="1" customWidth="1"/>
    <col min="279" max="279" width="17.33203125" bestFit="1" customWidth="1"/>
    <col min="280" max="280" width="15.77734375" bestFit="1" customWidth="1"/>
    <col min="281" max="281" width="18.6640625" bestFit="1" customWidth="1"/>
    <col min="282" max="282" width="11.109375" bestFit="1" customWidth="1"/>
    <col min="283" max="283" width="14.5546875" bestFit="1" customWidth="1"/>
    <col min="284" max="284" width="13" bestFit="1" customWidth="1"/>
    <col min="285" max="285" width="17.21875" bestFit="1" customWidth="1"/>
    <col min="286" max="286" width="16.21875" bestFit="1" customWidth="1"/>
    <col min="287" max="287" width="17.33203125" bestFit="1" customWidth="1"/>
    <col min="288" max="288" width="15.77734375" bestFit="1" customWidth="1"/>
    <col min="289" max="289" width="13.21875" bestFit="1" customWidth="1"/>
    <col min="290" max="290" width="16.77734375" bestFit="1" customWidth="1"/>
    <col min="291" max="291" width="14.33203125" bestFit="1" customWidth="1"/>
    <col min="292" max="292" width="19.5546875" bestFit="1" customWidth="1"/>
    <col min="293" max="293" width="16.21875" bestFit="1" customWidth="1"/>
    <col min="294" max="294" width="17.33203125" bestFit="1" customWidth="1"/>
    <col min="295" max="295" width="16.6640625" bestFit="1" customWidth="1"/>
    <col min="296" max="296" width="17.21875" bestFit="1" customWidth="1"/>
    <col min="297" max="297" width="16" bestFit="1" customWidth="1"/>
    <col min="298" max="298" width="21.88671875" bestFit="1" customWidth="1"/>
    <col min="299" max="299" width="16.33203125" bestFit="1" customWidth="1"/>
    <col min="300" max="300" width="20.5546875" bestFit="1" customWidth="1"/>
    <col min="301" max="301" width="22.77734375" bestFit="1" customWidth="1"/>
    <col min="302" max="302" width="16.33203125" bestFit="1" customWidth="1"/>
    <col min="303" max="303" width="20.5546875" bestFit="1" customWidth="1"/>
    <col min="304" max="304" width="22.77734375" bestFit="1" customWidth="1"/>
    <col min="305" max="305" width="11.109375" bestFit="1" customWidth="1"/>
    <col min="306" max="306" width="14.21875" bestFit="1" customWidth="1"/>
    <col min="307" max="307" width="11.77734375" bestFit="1" customWidth="1"/>
    <col min="308" max="308" width="14.77734375" bestFit="1" customWidth="1"/>
    <col min="309" max="309" width="21.88671875" bestFit="1" customWidth="1"/>
    <col min="310" max="310" width="16.33203125" bestFit="1" customWidth="1"/>
    <col min="311" max="311" width="20.5546875" bestFit="1" customWidth="1"/>
    <col min="312" max="312" width="22.77734375" bestFit="1" customWidth="1"/>
    <col min="313" max="313" width="16.33203125" bestFit="1" customWidth="1"/>
    <col min="314" max="314" width="20.5546875" bestFit="1" customWidth="1"/>
    <col min="315" max="315" width="22.77734375" bestFit="1" customWidth="1"/>
    <col min="316" max="316" width="11.109375" bestFit="1" customWidth="1"/>
    <col min="317" max="317" width="14.21875" bestFit="1" customWidth="1"/>
    <col min="318" max="318" width="11.77734375" bestFit="1" customWidth="1"/>
    <col min="319" max="319" width="14.77734375" bestFit="1" customWidth="1"/>
    <col min="320" max="320" width="34.21875" bestFit="1" customWidth="1"/>
    <col min="321" max="321" width="11.109375" bestFit="1" customWidth="1"/>
    <col min="322" max="322" width="14.21875" bestFit="1" customWidth="1"/>
    <col min="323" max="323" width="11.77734375" bestFit="1" customWidth="1"/>
    <col min="324" max="324" width="20.5546875" bestFit="1" customWidth="1"/>
    <col min="325" max="325" width="16.21875" bestFit="1" customWidth="1"/>
    <col min="326" max="326" width="17.33203125" bestFit="1" customWidth="1"/>
    <col min="327" max="327" width="15.77734375" bestFit="1" customWidth="1"/>
    <col min="328" max="328" width="16.77734375" bestFit="1" customWidth="1"/>
    <col min="329" max="329" width="14.77734375" bestFit="1" customWidth="1"/>
    <col min="330" max="330" width="16.21875" bestFit="1" customWidth="1"/>
    <col min="331" max="331" width="17.33203125" bestFit="1" customWidth="1"/>
    <col min="332" max="332" width="15.77734375" bestFit="1" customWidth="1"/>
    <col min="333" max="333" width="13.21875" bestFit="1" customWidth="1"/>
    <col min="334" max="334" width="16.77734375" bestFit="1" customWidth="1"/>
    <col min="335" max="335" width="14.33203125" bestFit="1" customWidth="1"/>
    <col min="336" max="336" width="19.5546875" bestFit="1" customWidth="1"/>
    <col min="337" max="337" width="16.21875" bestFit="1" customWidth="1"/>
    <col min="338" max="338" width="17.33203125" bestFit="1" customWidth="1"/>
    <col min="339" max="339" width="16.6640625" bestFit="1" customWidth="1"/>
    <col min="340" max="340" width="16.21875" bestFit="1" customWidth="1"/>
    <col min="341" max="341" width="17.33203125" bestFit="1" customWidth="1"/>
    <col min="342" max="342" width="15.77734375" bestFit="1" customWidth="1"/>
    <col min="343" max="343" width="13.21875" bestFit="1" customWidth="1"/>
    <col min="344" max="344" width="16.77734375" bestFit="1" customWidth="1"/>
    <col min="345" max="345" width="14.33203125" bestFit="1" customWidth="1"/>
    <col min="346" max="346" width="19.5546875" bestFit="1" customWidth="1"/>
    <col min="347" max="347" width="16.21875" bestFit="1" customWidth="1"/>
    <col min="348" max="348" width="17.33203125" bestFit="1" customWidth="1"/>
    <col min="349" max="349" width="16.6640625" bestFit="1" customWidth="1"/>
    <col min="350" max="350" width="16.33203125" bestFit="1" customWidth="1"/>
    <col min="351" max="351" width="20.5546875" bestFit="1" customWidth="1"/>
    <col min="352" max="352" width="22.77734375" bestFit="1" customWidth="1"/>
    <col min="353" max="353" width="16.33203125" bestFit="1" customWidth="1"/>
    <col min="354" max="354" width="20.5546875" bestFit="1" customWidth="1"/>
    <col min="355" max="355" width="22.77734375" bestFit="1" customWidth="1"/>
    <col min="356" max="356" width="11.109375" bestFit="1" customWidth="1"/>
    <col min="357" max="357" width="14.21875" bestFit="1" customWidth="1"/>
    <col min="358" max="358" width="11.77734375" bestFit="1" customWidth="1"/>
    <col min="359" max="359" width="14.77734375" bestFit="1" customWidth="1"/>
    <col min="360" max="360" width="16.33203125" bestFit="1" customWidth="1"/>
    <col min="361" max="361" width="20.5546875" bestFit="1" customWidth="1"/>
    <col min="362" max="362" width="22.77734375" bestFit="1" customWidth="1"/>
    <col min="363" max="363" width="16.33203125" bestFit="1" customWidth="1"/>
    <col min="364" max="364" width="20.5546875" bestFit="1" customWidth="1"/>
    <col min="365" max="365" width="22.77734375" bestFit="1" customWidth="1"/>
    <col min="366" max="366" width="11.109375" bestFit="1" customWidth="1"/>
    <col min="367" max="367" width="14.21875" bestFit="1" customWidth="1"/>
    <col min="368" max="368" width="11.77734375" bestFit="1" customWidth="1"/>
    <col min="369" max="369" width="14.77734375" bestFit="1" customWidth="1"/>
    <col min="370" max="370" width="23.109375" bestFit="1" customWidth="1"/>
    <col min="371" max="371" width="23.33203125" bestFit="1" customWidth="1"/>
    <col min="372" max="372" width="16.21875" bestFit="1" customWidth="1"/>
    <col min="373" max="373" width="17.33203125" bestFit="1" customWidth="1"/>
    <col min="374" max="374" width="15.77734375" bestFit="1" customWidth="1"/>
    <col min="375" max="375" width="11.109375" bestFit="1" customWidth="1"/>
    <col min="376" max="376" width="14.88671875" bestFit="1" customWidth="1"/>
    <col min="377" max="378" width="17.21875" bestFit="1" customWidth="1"/>
  </cols>
  <sheetData>
    <row r="1" spans="1:18" ht="15.6" x14ac:dyDescent="0.3">
      <c r="A1" s="10" t="s">
        <v>0</v>
      </c>
      <c r="B1" s="8" t="s">
        <v>1</v>
      </c>
      <c r="C1" s="8" t="s">
        <v>2</v>
      </c>
      <c r="D1" s="8" t="s">
        <v>3</v>
      </c>
      <c r="E1" s="8" t="s">
        <v>4</v>
      </c>
      <c r="F1" s="8" t="s">
        <v>5</v>
      </c>
      <c r="G1" s="8" t="s">
        <v>6</v>
      </c>
      <c r="H1" s="4" t="s">
        <v>7</v>
      </c>
      <c r="I1" s="4" t="s">
        <v>8</v>
      </c>
      <c r="J1" s="4" t="s">
        <v>9</v>
      </c>
      <c r="K1" s="8" t="s">
        <v>10</v>
      </c>
      <c r="L1" s="8" t="s">
        <v>11</v>
      </c>
      <c r="M1" s="4" t="s">
        <v>1982</v>
      </c>
      <c r="N1" s="4" t="s">
        <v>1983</v>
      </c>
    </row>
    <row r="2" spans="1:18" x14ac:dyDescent="0.3">
      <c r="A2" s="5" t="s">
        <v>1290</v>
      </c>
      <c r="B2" s="9" t="s">
        <v>1291</v>
      </c>
      <c r="C2" s="9" t="s">
        <v>23</v>
      </c>
      <c r="D2" s="9" t="s">
        <v>79</v>
      </c>
      <c r="E2" s="9" t="s">
        <v>25</v>
      </c>
      <c r="F2" s="9" t="s">
        <v>17</v>
      </c>
      <c r="G2" s="9" t="s">
        <v>26</v>
      </c>
      <c r="H2" s="5">
        <v>39</v>
      </c>
      <c r="I2" s="6">
        <v>39201</v>
      </c>
      <c r="J2" s="7">
        <v>171487</v>
      </c>
      <c r="K2" s="9" t="s">
        <v>19</v>
      </c>
      <c r="L2" s="9" t="s">
        <v>37</v>
      </c>
      <c r="M2">
        <f ca="1">DATEDIF(I2,TODAY(),"Y")</f>
        <v>18</v>
      </c>
      <c r="N2">
        <f ca="1">_xlfn.XLOOKUP(M2,$Q$3:$Q$11,$R$3:$R$11,0,-1)</f>
        <v>9.5</v>
      </c>
    </row>
    <row r="3" spans="1:18" x14ac:dyDescent="0.3">
      <c r="A3" s="5" t="s">
        <v>759</v>
      </c>
      <c r="B3" s="9" t="s">
        <v>1361</v>
      </c>
      <c r="C3" s="9" t="s">
        <v>44</v>
      </c>
      <c r="D3" s="9" t="s">
        <v>24</v>
      </c>
      <c r="E3" s="9" t="s">
        <v>41</v>
      </c>
      <c r="F3" s="9" t="s">
        <v>17</v>
      </c>
      <c r="G3" s="9" t="s">
        <v>36</v>
      </c>
      <c r="H3" s="5">
        <v>52</v>
      </c>
      <c r="I3" s="6">
        <v>43515</v>
      </c>
      <c r="J3" s="7">
        <v>55859</v>
      </c>
      <c r="K3" s="9" t="s">
        <v>1310</v>
      </c>
      <c r="L3" s="9" t="s">
        <v>1323</v>
      </c>
      <c r="M3">
        <f t="shared" ref="M3:M66" ca="1" si="0">DATEDIF(I3,TODAY(),"Y")</f>
        <v>6</v>
      </c>
      <c r="N3">
        <f t="shared" ref="N3:N66" ca="1" si="1">_xlfn.XLOOKUP(M3,$Q$3:$Q$11,$R$3:$R$11,0,-1)</f>
        <v>4</v>
      </c>
      <c r="Q3" s="2" t="s">
        <v>46</v>
      </c>
      <c r="R3" s="2" t="s">
        <v>47</v>
      </c>
    </row>
    <row r="4" spans="1:18" x14ac:dyDescent="0.3">
      <c r="A4" s="5" t="s">
        <v>759</v>
      </c>
      <c r="B4" s="9" t="s">
        <v>760</v>
      </c>
      <c r="C4" s="9" t="s">
        <v>34</v>
      </c>
      <c r="D4" s="9" t="s">
        <v>24</v>
      </c>
      <c r="E4" s="9" t="s">
        <v>25</v>
      </c>
      <c r="F4" s="9" t="s">
        <v>17</v>
      </c>
      <c r="G4" s="9" t="s">
        <v>36</v>
      </c>
      <c r="H4" s="5">
        <v>33</v>
      </c>
      <c r="I4" s="6">
        <v>42285</v>
      </c>
      <c r="J4" s="7">
        <v>94876</v>
      </c>
      <c r="K4" s="9" t="s">
        <v>19</v>
      </c>
      <c r="L4" s="9" t="s">
        <v>45</v>
      </c>
      <c r="M4">
        <f t="shared" ca="1" si="0"/>
        <v>10</v>
      </c>
      <c r="N4">
        <f t="shared" ca="1" si="1"/>
        <v>5.5</v>
      </c>
      <c r="Q4" s="3">
        <v>0</v>
      </c>
      <c r="R4" s="3">
        <v>1</v>
      </c>
    </row>
    <row r="5" spans="1:18" x14ac:dyDescent="0.3">
      <c r="A5" s="5" t="s">
        <v>1570</v>
      </c>
      <c r="B5" s="9" t="s">
        <v>1571</v>
      </c>
      <c r="C5" s="11" t="s">
        <v>181</v>
      </c>
      <c r="D5" s="9" t="s">
        <v>79</v>
      </c>
      <c r="E5" s="9" t="s">
        <v>31</v>
      </c>
      <c r="F5" s="9" t="s">
        <v>17</v>
      </c>
      <c r="G5" s="9" t="s">
        <v>36</v>
      </c>
      <c r="H5" s="5">
        <v>62</v>
      </c>
      <c r="I5" s="6">
        <v>38977</v>
      </c>
      <c r="J5" s="7">
        <v>64669</v>
      </c>
      <c r="K5" s="9" t="s">
        <v>1310</v>
      </c>
      <c r="L5" s="9" t="s">
        <v>1311</v>
      </c>
      <c r="M5">
        <f t="shared" ca="1" si="0"/>
        <v>19</v>
      </c>
      <c r="N5">
        <f t="shared" ca="1" si="1"/>
        <v>9.5</v>
      </c>
      <c r="Q5" s="3">
        <v>3</v>
      </c>
      <c r="R5" s="3">
        <v>3</v>
      </c>
    </row>
    <row r="6" spans="1:18" x14ac:dyDescent="0.3">
      <c r="A6" s="5" t="s">
        <v>994</v>
      </c>
      <c r="B6" s="9" t="s">
        <v>995</v>
      </c>
      <c r="C6" s="9" t="s">
        <v>23</v>
      </c>
      <c r="D6" s="9" t="s">
        <v>60</v>
      </c>
      <c r="E6" s="9" t="s">
        <v>31</v>
      </c>
      <c r="F6" s="9" t="s">
        <v>35</v>
      </c>
      <c r="G6" s="9" t="s">
        <v>26</v>
      </c>
      <c r="H6" s="5">
        <v>52</v>
      </c>
      <c r="I6" s="6">
        <v>39018</v>
      </c>
      <c r="J6" s="7">
        <v>187992</v>
      </c>
      <c r="K6" s="9" t="s">
        <v>19</v>
      </c>
      <c r="L6" s="9" t="s">
        <v>45</v>
      </c>
      <c r="M6">
        <f t="shared" ca="1" si="0"/>
        <v>19</v>
      </c>
      <c r="N6">
        <f t="shared" ca="1" si="1"/>
        <v>9.5</v>
      </c>
      <c r="Q6" s="3">
        <v>6</v>
      </c>
      <c r="R6" s="3">
        <v>4</v>
      </c>
    </row>
    <row r="7" spans="1:18" x14ac:dyDescent="0.3">
      <c r="A7" s="5" t="s">
        <v>1799</v>
      </c>
      <c r="B7" s="9" t="s">
        <v>1800</v>
      </c>
      <c r="C7" s="9" t="s">
        <v>14</v>
      </c>
      <c r="D7" s="9" t="s">
        <v>68</v>
      </c>
      <c r="E7" s="9" t="s">
        <v>31</v>
      </c>
      <c r="F7" s="9" t="s">
        <v>17</v>
      </c>
      <c r="G7" s="9" t="s">
        <v>73</v>
      </c>
      <c r="H7" s="5">
        <v>45</v>
      </c>
      <c r="I7" s="6">
        <v>38218</v>
      </c>
      <c r="J7" s="7">
        <v>121065</v>
      </c>
      <c r="K7" s="9" t="s">
        <v>1717</v>
      </c>
      <c r="L7" s="9" t="s">
        <v>1721</v>
      </c>
      <c r="M7">
        <f t="shared" ca="1" si="0"/>
        <v>21</v>
      </c>
      <c r="N7">
        <f t="shared" ca="1" si="1"/>
        <v>9.5</v>
      </c>
      <c r="P7" s="1"/>
      <c r="Q7" s="3">
        <v>8</v>
      </c>
      <c r="R7" s="3">
        <v>5.5</v>
      </c>
    </row>
    <row r="8" spans="1:18" x14ac:dyDescent="0.3">
      <c r="A8" s="5" t="s">
        <v>1933</v>
      </c>
      <c r="B8" s="9" t="s">
        <v>1934</v>
      </c>
      <c r="C8" s="9" t="s">
        <v>157</v>
      </c>
      <c r="D8" s="9" t="s">
        <v>15</v>
      </c>
      <c r="E8" s="9" t="s">
        <v>31</v>
      </c>
      <c r="F8" s="9" t="s">
        <v>17</v>
      </c>
      <c r="G8" s="9" t="s">
        <v>73</v>
      </c>
      <c r="H8" s="5">
        <v>43</v>
      </c>
      <c r="I8" s="6">
        <v>39885</v>
      </c>
      <c r="J8" s="7">
        <v>62335</v>
      </c>
      <c r="K8" s="9" t="s">
        <v>1717</v>
      </c>
      <c r="L8" s="9" t="s">
        <v>1718</v>
      </c>
      <c r="M8">
        <f t="shared" ca="1" si="0"/>
        <v>16</v>
      </c>
      <c r="N8">
        <f t="shared" ca="1" si="1"/>
        <v>8</v>
      </c>
      <c r="Q8" s="3">
        <v>12</v>
      </c>
      <c r="R8" s="3">
        <v>8</v>
      </c>
    </row>
    <row r="9" spans="1:18" x14ac:dyDescent="0.3">
      <c r="A9" s="5" t="s">
        <v>713</v>
      </c>
      <c r="B9" s="9" t="s">
        <v>714</v>
      </c>
      <c r="C9" s="9" t="s">
        <v>67</v>
      </c>
      <c r="D9" s="9" t="s">
        <v>15</v>
      </c>
      <c r="E9" s="9" t="s">
        <v>16</v>
      </c>
      <c r="F9" s="9" t="s">
        <v>17</v>
      </c>
      <c r="G9" s="9" t="s">
        <v>26</v>
      </c>
      <c r="H9" s="5">
        <v>53</v>
      </c>
      <c r="I9" s="6">
        <v>40856</v>
      </c>
      <c r="J9" s="7">
        <v>198473</v>
      </c>
      <c r="K9" s="9" t="s">
        <v>19</v>
      </c>
      <c r="L9" s="9" t="s">
        <v>45</v>
      </c>
      <c r="M9">
        <f t="shared" ca="1" si="0"/>
        <v>14</v>
      </c>
      <c r="N9">
        <f t="shared" ca="1" si="1"/>
        <v>8</v>
      </c>
      <c r="Q9" s="3">
        <v>18</v>
      </c>
      <c r="R9" s="3">
        <v>9.5</v>
      </c>
    </row>
    <row r="10" spans="1:18" x14ac:dyDescent="0.3">
      <c r="A10" s="5" t="s">
        <v>1803</v>
      </c>
      <c r="B10" s="9" t="s">
        <v>1804</v>
      </c>
      <c r="C10" s="9" t="s">
        <v>121</v>
      </c>
      <c r="D10" s="9" t="s">
        <v>56</v>
      </c>
      <c r="E10" s="9" t="s">
        <v>41</v>
      </c>
      <c r="F10" s="9" t="s">
        <v>17</v>
      </c>
      <c r="G10" s="9" t="s">
        <v>73</v>
      </c>
      <c r="H10" s="5">
        <v>31</v>
      </c>
      <c r="I10" s="6">
        <v>44297</v>
      </c>
      <c r="J10" s="7">
        <v>72235</v>
      </c>
      <c r="K10" s="9" t="s">
        <v>1717</v>
      </c>
      <c r="L10" s="9" t="s">
        <v>1718</v>
      </c>
      <c r="M10">
        <f t="shared" ca="1" si="0"/>
        <v>4</v>
      </c>
      <c r="N10">
        <f t="shared" ca="1" si="1"/>
        <v>3</v>
      </c>
      <c r="Q10" s="3">
        <v>25</v>
      </c>
      <c r="R10" s="3">
        <v>10</v>
      </c>
    </row>
    <row r="11" spans="1:18" x14ac:dyDescent="0.3">
      <c r="A11" s="5" t="s">
        <v>278</v>
      </c>
      <c r="B11" s="9" t="s">
        <v>279</v>
      </c>
      <c r="C11" s="9" t="s">
        <v>67</v>
      </c>
      <c r="D11" s="9" t="s">
        <v>50</v>
      </c>
      <c r="E11" s="9" t="s">
        <v>41</v>
      </c>
      <c r="F11" s="9" t="s">
        <v>17</v>
      </c>
      <c r="G11" s="9" t="s">
        <v>36</v>
      </c>
      <c r="H11" s="5">
        <v>56</v>
      </c>
      <c r="I11" s="6">
        <v>41714</v>
      </c>
      <c r="J11" s="7">
        <v>190815</v>
      </c>
      <c r="K11" s="9" t="s">
        <v>19</v>
      </c>
      <c r="L11" s="9" t="s">
        <v>51</v>
      </c>
      <c r="M11">
        <f t="shared" ca="1" si="0"/>
        <v>11</v>
      </c>
      <c r="N11">
        <f t="shared" ca="1" si="1"/>
        <v>5.5</v>
      </c>
      <c r="Q11" s="3">
        <v>30</v>
      </c>
      <c r="R11" s="3">
        <v>15</v>
      </c>
    </row>
    <row r="12" spans="1:18" x14ac:dyDescent="0.3">
      <c r="A12" s="5" t="s">
        <v>278</v>
      </c>
      <c r="B12" s="9" t="s">
        <v>558</v>
      </c>
      <c r="C12" s="9" t="s">
        <v>14</v>
      </c>
      <c r="D12" s="9" t="s">
        <v>15</v>
      </c>
      <c r="E12" s="9" t="s">
        <v>41</v>
      </c>
      <c r="F12" s="9" t="s">
        <v>35</v>
      </c>
      <c r="G12" s="9" t="s">
        <v>26</v>
      </c>
      <c r="H12" s="5">
        <v>46</v>
      </c>
      <c r="I12" s="6">
        <v>38244</v>
      </c>
      <c r="J12" s="7">
        <v>130274</v>
      </c>
      <c r="K12" s="9" t="s">
        <v>19</v>
      </c>
      <c r="L12" s="9" t="s">
        <v>27</v>
      </c>
      <c r="M12">
        <f t="shared" ca="1" si="0"/>
        <v>21</v>
      </c>
      <c r="N12">
        <f t="shared" ca="1" si="1"/>
        <v>9.5</v>
      </c>
    </row>
    <row r="13" spans="1:18" x14ac:dyDescent="0.3">
      <c r="A13" s="5" t="s">
        <v>1666</v>
      </c>
      <c r="B13" s="9" t="s">
        <v>1667</v>
      </c>
      <c r="C13" s="9" t="s">
        <v>14</v>
      </c>
      <c r="D13" s="9" t="s">
        <v>56</v>
      </c>
      <c r="E13" s="9" t="s">
        <v>16</v>
      </c>
      <c r="F13" s="9" t="s">
        <v>17</v>
      </c>
      <c r="G13" s="9" t="s">
        <v>36</v>
      </c>
      <c r="H13" s="5">
        <v>37</v>
      </c>
      <c r="I13" s="6">
        <v>40560</v>
      </c>
      <c r="J13" s="7">
        <v>131353</v>
      </c>
      <c r="K13" s="9" t="s">
        <v>1310</v>
      </c>
      <c r="L13" s="9" t="s">
        <v>1316</v>
      </c>
      <c r="M13">
        <f t="shared" ca="1" si="0"/>
        <v>14</v>
      </c>
      <c r="N13">
        <f t="shared" ca="1" si="1"/>
        <v>8</v>
      </c>
    </row>
    <row r="14" spans="1:18" x14ac:dyDescent="0.3">
      <c r="A14" s="5" t="s">
        <v>898</v>
      </c>
      <c r="B14" s="9" t="s">
        <v>899</v>
      </c>
      <c r="C14" s="9" t="s">
        <v>91</v>
      </c>
      <c r="D14" s="9" t="s">
        <v>24</v>
      </c>
      <c r="E14" s="9" t="s">
        <v>31</v>
      </c>
      <c r="F14" s="9" t="s">
        <v>17</v>
      </c>
      <c r="G14" s="9" t="s">
        <v>36</v>
      </c>
      <c r="H14" s="5">
        <v>48</v>
      </c>
      <c r="I14" s="6">
        <v>37796</v>
      </c>
      <c r="J14" s="7">
        <v>55760</v>
      </c>
      <c r="K14" s="9" t="s">
        <v>19</v>
      </c>
      <c r="L14" s="9" t="s">
        <v>51</v>
      </c>
      <c r="M14">
        <f t="shared" ca="1" si="0"/>
        <v>22</v>
      </c>
      <c r="N14">
        <f t="shared" ca="1" si="1"/>
        <v>9.5</v>
      </c>
    </row>
    <row r="15" spans="1:18" x14ac:dyDescent="0.3">
      <c r="A15" s="5" t="s">
        <v>1856</v>
      </c>
      <c r="B15" s="9" t="s">
        <v>1857</v>
      </c>
      <c r="C15" s="9" t="s">
        <v>196</v>
      </c>
      <c r="D15" s="9" t="s">
        <v>60</v>
      </c>
      <c r="E15" s="9" t="s">
        <v>31</v>
      </c>
      <c r="F15" s="9" t="s">
        <v>17</v>
      </c>
      <c r="G15" s="9" t="s">
        <v>73</v>
      </c>
      <c r="H15" s="5">
        <v>30</v>
      </c>
      <c r="I15" s="6">
        <v>42516</v>
      </c>
      <c r="J15" s="7">
        <v>91134</v>
      </c>
      <c r="K15" s="9" t="s">
        <v>1717</v>
      </c>
      <c r="L15" s="9" t="s">
        <v>1736</v>
      </c>
      <c r="M15">
        <f t="shared" ca="1" si="0"/>
        <v>9</v>
      </c>
      <c r="N15">
        <f t="shared" ca="1" si="1"/>
        <v>5.5</v>
      </c>
      <c r="O15" s="5"/>
    </row>
    <row r="16" spans="1:18" x14ac:dyDescent="0.3">
      <c r="A16" s="5" t="s">
        <v>711</v>
      </c>
      <c r="B16" s="9" t="s">
        <v>712</v>
      </c>
      <c r="C16" s="9" t="s">
        <v>577</v>
      </c>
      <c r="D16" s="9" t="s">
        <v>15</v>
      </c>
      <c r="E16" s="9" t="s">
        <v>31</v>
      </c>
      <c r="F16" s="9" t="s">
        <v>17</v>
      </c>
      <c r="G16" s="9" t="s">
        <v>73</v>
      </c>
      <c r="H16" s="5">
        <v>44</v>
      </c>
      <c r="I16" s="6">
        <v>40603</v>
      </c>
      <c r="J16" s="7">
        <v>82462</v>
      </c>
      <c r="K16" s="9" t="s">
        <v>19</v>
      </c>
      <c r="L16" s="9" t="s">
        <v>51</v>
      </c>
      <c r="M16">
        <f t="shared" ca="1" si="0"/>
        <v>14</v>
      </c>
      <c r="N16">
        <f t="shared" ca="1" si="1"/>
        <v>8</v>
      </c>
      <c r="O16" s="5"/>
    </row>
    <row r="17" spans="1:16" x14ac:dyDescent="0.3">
      <c r="A17" s="5" t="s">
        <v>1951</v>
      </c>
      <c r="B17" s="9" t="s">
        <v>1952</v>
      </c>
      <c r="C17" s="9" t="s">
        <v>253</v>
      </c>
      <c r="D17" s="9" t="s">
        <v>15</v>
      </c>
      <c r="E17" s="9" t="s">
        <v>25</v>
      </c>
      <c r="F17" s="9" t="s">
        <v>17</v>
      </c>
      <c r="G17" s="9" t="s">
        <v>73</v>
      </c>
      <c r="H17" s="5">
        <v>36</v>
      </c>
      <c r="I17" s="6">
        <v>44217</v>
      </c>
      <c r="J17" s="7">
        <v>90333</v>
      </c>
      <c r="K17" s="9" t="s">
        <v>1717</v>
      </c>
      <c r="L17" s="9" t="s">
        <v>1721</v>
      </c>
      <c r="M17">
        <f t="shared" ca="1" si="0"/>
        <v>4</v>
      </c>
      <c r="N17">
        <f t="shared" ca="1" si="1"/>
        <v>3</v>
      </c>
      <c r="O17" s="5"/>
    </row>
    <row r="18" spans="1:16" x14ac:dyDescent="0.3">
      <c r="A18" s="5" t="s">
        <v>727</v>
      </c>
      <c r="B18" s="9" t="s">
        <v>728</v>
      </c>
      <c r="C18" s="9" t="s">
        <v>23</v>
      </c>
      <c r="D18" s="9" t="s">
        <v>50</v>
      </c>
      <c r="E18" s="9" t="s">
        <v>25</v>
      </c>
      <c r="F18" s="9" t="s">
        <v>17</v>
      </c>
      <c r="G18" s="9" t="s">
        <v>36</v>
      </c>
      <c r="H18" s="5">
        <v>29</v>
      </c>
      <c r="I18" s="6">
        <v>42914</v>
      </c>
      <c r="J18" s="7">
        <v>197649</v>
      </c>
      <c r="K18" s="9" t="s">
        <v>19</v>
      </c>
      <c r="L18" s="9" t="s">
        <v>76</v>
      </c>
      <c r="M18">
        <f t="shared" ca="1" si="0"/>
        <v>8</v>
      </c>
      <c r="N18">
        <f t="shared" ca="1" si="1"/>
        <v>5.5</v>
      </c>
      <c r="O18" s="5"/>
      <c r="P18" s="5"/>
    </row>
    <row r="19" spans="1:16" x14ac:dyDescent="0.3">
      <c r="A19" s="5" t="s">
        <v>1732</v>
      </c>
      <c r="B19" s="9" t="s">
        <v>1733</v>
      </c>
      <c r="C19" s="9" t="s">
        <v>40</v>
      </c>
      <c r="D19" s="9" t="s">
        <v>50</v>
      </c>
      <c r="E19" s="9" t="s">
        <v>25</v>
      </c>
      <c r="F19" s="9" t="s">
        <v>17</v>
      </c>
      <c r="G19" s="9" t="s">
        <v>73</v>
      </c>
      <c r="H19" s="5">
        <v>38</v>
      </c>
      <c r="I19" s="6">
        <v>44516</v>
      </c>
      <c r="J19" s="7">
        <v>109812</v>
      </c>
      <c r="K19" s="9" t="s">
        <v>1717</v>
      </c>
      <c r="L19" s="9" t="s">
        <v>1718</v>
      </c>
      <c r="M19">
        <f t="shared" ca="1" si="0"/>
        <v>4</v>
      </c>
      <c r="N19">
        <f t="shared" ca="1" si="1"/>
        <v>3</v>
      </c>
      <c r="O19" s="5"/>
      <c r="P19" s="5"/>
    </row>
    <row r="20" spans="1:16" x14ac:dyDescent="0.3">
      <c r="A20" s="5" t="s">
        <v>653</v>
      </c>
      <c r="B20" s="9" t="s">
        <v>654</v>
      </c>
      <c r="C20" s="9" t="s">
        <v>44</v>
      </c>
      <c r="D20" s="9" t="s">
        <v>79</v>
      </c>
      <c r="E20" s="9" t="s">
        <v>25</v>
      </c>
      <c r="F20" s="9" t="s">
        <v>17</v>
      </c>
      <c r="G20" s="9" t="s">
        <v>36</v>
      </c>
      <c r="H20" s="5">
        <v>64</v>
      </c>
      <c r="I20" s="6">
        <v>38380</v>
      </c>
      <c r="J20" s="7">
        <v>55369</v>
      </c>
      <c r="K20" s="9" t="s">
        <v>19</v>
      </c>
      <c r="L20" s="9" t="s">
        <v>37</v>
      </c>
      <c r="M20">
        <f t="shared" ca="1" si="0"/>
        <v>20</v>
      </c>
      <c r="N20">
        <f t="shared" ca="1" si="1"/>
        <v>9.5</v>
      </c>
      <c r="O20" s="5"/>
      <c r="P20" s="5"/>
    </row>
    <row r="21" spans="1:16" x14ac:dyDescent="0.3">
      <c r="A21" s="5" t="s">
        <v>1780</v>
      </c>
      <c r="B21" s="9" t="s">
        <v>1781</v>
      </c>
      <c r="C21" s="9" t="s">
        <v>23</v>
      </c>
      <c r="D21" s="9" t="s">
        <v>60</v>
      </c>
      <c r="E21" s="9" t="s">
        <v>16</v>
      </c>
      <c r="F21" s="9" t="s">
        <v>35</v>
      </c>
      <c r="G21" s="9" t="s">
        <v>73</v>
      </c>
      <c r="H21" s="5">
        <v>31</v>
      </c>
      <c r="I21" s="6">
        <v>44069</v>
      </c>
      <c r="J21" s="7">
        <v>189290</v>
      </c>
      <c r="K21" s="9" t="s">
        <v>1717</v>
      </c>
      <c r="L21" s="9" t="s">
        <v>1736</v>
      </c>
      <c r="M21">
        <f t="shared" ca="1" si="0"/>
        <v>5</v>
      </c>
      <c r="N21">
        <f t="shared" ca="1" si="1"/>
        <v>3</v>
      </c>
      <c r="O21" s="5"/>
    </row>
    <row r="22" spans="1:16" x14ac:dyDescent="0.3">
      <c r="A22" s="5" t="s">
        <v>1270</v>
      </c>
      <c r="B22" s="9" t="s">
        <v>1271</v>
      </c>
      <c r="C22" s="9" t="s">
        <v>324</v>
      </c>
      <c r="D22" s="9" t="s">
        <v>15</v>
      </c>
      <c r="E22" s="9" t="s">
        <v>16</v>
      </c>
      <c r="F22" s="9" t="s">
        <v>17</v>
      </c>
      <c r="G22" s="9" t="s">
        <v>26</v>
      </c>
      <c r="H22" s="5">
        <v>58</v>
      </c>
      <c r="I22" s="6">
        <v>42486</v>
      </c>
      <c r="J22" s="7">
        <v>72045</v>
      </c>
      <c r="K22" s="9" t="s">
        <v>19</v>
      </c>
      <c r="L22" s="9" t="s">
        <v>37</v>
      </c>
      <c r="M22">
        <f t="shared" ca="1" si="0"/>
        <v>9</v>
      </c>
      <c r="N22">
        <f t="shared" ca="1" si="1"/>
        <v>5.5</v>
      </c>
      <c r="O22" s="5"/>
    </row>
    <row r="23" spans="1:16" x14ac:dyDescent="0.3">
      <c r="A23" s="5" t="s">
        <v>237</v>
      </c>
      <c r="B23" s="9" t="s">
        <v>238</v>
      </c>
      <c r="C23" s="9" t="s">
        <v>23</v>
      </c>
      <c r="D23" s="9" t="s">
        <v>56</v>
      </c>
      <c r="E23" s="9" t="s">
        <v>31</v>
      </c>
      <c r="F23" s="9" t="s">
        <v>17</v>
      </c>
      <c r="G23" s="9" t="s">
        <v>73</v>
      </c>
      <c r="H23" s="5">
        <v>54</v>
      </c>
      <c r="I23" s="6">
        <v>43122</v>
      </c>
      <c r="J23" s="7">
        <v>176294</v>
      </c>
      <c r="K23" s="9" t="s">
        <v>19</v>
      </c>
      <c r="L23" s="9" t="s">
        <v>51</v>
      </c>
      <c r="M23">
        <f t="shared" ca="1" si="0"/>
        <v>7</v>
      </c>
      <c r="N23">
        <f t="shared" ca="1" si="1"/>
        <v>4</v>
      </c>
      <c r="O23" s="5"/>
    </row>
    <row r="24" spans="1:16" x14ac:dyDescent="0.3">
      <c r="A24" s="5" t="s">
        <v>1375</v>
      </c>
      <c r="B24" s="9" t="s">
        <v>1376</v>
      </c>
      <c r="C24" s="9" t="s">
        <v>67</v>
      </c>
      <c r="D24" s="9" t="s">
        <v>56</v>
      </c>
      <c r="E24" s="9" t="s">
        <v>41</v>
      </c>
      <c r="F24" s="9" t="s">
        <v>17</v>
      </c>
      <c r="G24" s="9" t="s">
        <v>36</v>
      </c>
      <c r="H24" s="5">
        <v>61</v>
      </c>
      <c r="I24" s="6">
        <v>42804</v>
      </c>
      <c r="J24" s="7">
        <v>196951</v>
      </c>
      <c r="K24" s="9" t="s">
        <v>1310</v>
      </c>
      <c r="L24" s="9" t="s">
        <v>1323</v>
      </c>
      <c r="M24">
        <f t="shared" ca="1" si="0"/>
        <v>8</v>
      </c>
      <c r="N24">
        <f t="shared" ca="1" si="1"/>
        <v>5.5</v>
      </c>
      <c r="O24" s="5"/>
    </row>
    <row r="25" spans="1:16" x14ac:dyDescent="0.3">
      <c r="A25" s="5" t="s">
        <v>1521</v>
      </c>
      <c r="B25" s="9" t="s">
        <v>1522</v>
      </c>
      <c r="C25" s="9" t="s">
        <v>59</v>
      </c>
      <c r="D25" s="9" t="s">
        <v>60</v>
      </c>
      <c r="E25" s="9" t="s">
        <v>16</v>
      </c>
      <c r="F25" s="9" t="s">
        <v>35</v>
      </c>
      <c r="G25" s="9" t="s">
        <v>36</v>
      </c>
      <c r="H25" s="5">
        <v>55</v>
      </c>
      <c r="I25" s="6">
        <v>43219</v>
      </c>
      <c r="J25" s="7">
        <v>83378</v>
      </c>
      <c r="K25" s="9" t="s">
        <v>1310</v>
      </c>
      <c r="L25" s="9" t="s">
        <v>1323</v>
      </c>
      <c r="M25">
        <f t="shared" ca="1" si="0"/>
        <v>7</v>
      </c>
      <c r="N25">
        <f t="shared" ca="1" si="1"/>
        <v>4</v>
      </c>
      <c r="O25" s="5"/>
    </row>
    <row r="26" spans="1:16" x14ac:dyDescent="0.3">
      <c r="A26" s="5" t="s">
        <v>939</v>
      </c>
      <c r="B26" s="9" t="s">
        <v>1851</v>
      </c>
      <c r="C26" s="9" t="s">
        <v>34</v>
      </c>
      <c r="D26" s="9" t="s">
        <v>79</v>
      </c>
      <c r="E26" s="9" t="s">
        <v>16</v>
      </c>
      <c r="F26" s="9" t="s">
        <v>35</v>
      </c>
      <c r="G26" s="9" t="s">
        <v>73</v>
      </c>
      <c r="H26" s="5">
        <v>58</v>
      </c>
      <c r="I26" s="6">
        <v>39930</v>
      </c>
      <c r="J26" s="7">
        <v>76802</v>
      </c>
      <c r="K26" s="9" t="s">
        <v>1717</v>
      </c>
      <c r="L26" s="9" t="s">
        <v>1718</v>
      </c>
      <c r="M26">
        <f t="shared" ca="1" si="0"/>
        <v>16</v>
      </c>
      <c r="N26">
        <f t="shared" ca="1" si="1"/>
        <v>8</v>
      </c>
      <c r="O26" s="5"/>
    </row>
    <row r="27" spans="1:16" x14ac:dyDescent="0.3">
      <c r="A27" s="5" t="s">
        <v>939</v>
      </c>
      <c r="B27" s="9" t="s">
        <v>940</v>
      </c>
      <c r="C27" s="9" t="s">
        <v>44</v>
      </c>
      <c r="D27" s="9" t="s">
        <v>50</v>
      </c>
      <c r="E27" s="9" t="s">
        <v>31</v>
      </c>
      <c r="F27" s="9" t="s">
        <v>17</v>
      </c>
      <c r="G27" s="9" t="s">
        <v>26</v>
      </c>
      <c r="H27" s="5">
        <v>28</v>
      </c>
      <c r="I27" s="6">
        <v>43610</v>
      </c>
      <c r="J27" s="7">
        <v>45819</v>
      </c>
      <c r="K27" s="9" t="s">
        <v>19</v>
      </c>
      <c r="L27" s="9" t="s">
        <v>45</v>
      </c>
      <c r="M27">
        <f t="shared" ca="1" si="0"/>
        <v>6</v>
      </c>
      <c r="N27">
        <f t="shared" ca="1" si="1"/>
        <v>4</v>
      </c>
      <c r="O27" s="5"/>
    </row>
    <row r="28" spans="1:16" x14ac:dyDescent="0.3">
      <c r="A28" s="5" t="s">
        <v>675</v>
      </c>
      <c r="B28" s="9" t="s">
        <v>676</v>
      </c>
      <c r="C28" s="9" t="s">
        <v>130</v>
      </c>
      <c r="D28" s="9" t="s">
        <v>60</v>
      </c>
      <c r="E28" s="9" t="s">
        <v>41</v>
      </c>
      <c r="F28" s="9" t="s">
        <v>17</v>
      </c>
      <c r="G28" s="9" t="s">
        <v>26</v>
      </c>
      <c r="H28" s="5">
        <v>39</v>
      </c>
      <c r="I28" s="6">
        <v>43536</v>
      </c>
      <c r="J28" s="7">
        <v>62644</v>
      </c>
      <c r="K28" s="9" t="s">
        <v>19</v>
      </c>
      <c r="L28" s="9" t="s">
        <v>20</v>
      </c>
      <c r="M28">
        <f t="shared" ca="1" si="0"/>
        <v>6</v>
      </c>
      <c r="N28">
        <f t="shared" ca="1" si="1"/>
        <v>4</v>
      </c>
    </row>
    <row r="29" spans="1:16" x14ac:dyDescent="0.3">
      <c r="A29" s="5" t="s">
        <v>84</v>
      </c>
      <c r="B29" s="9" t="s">
        <v>85</v>
      </c>
      <c r="C29" s="9" t="s">
        <v>67</v>
      </c>
      <c r="D29" s="9" t="s">
        <v>60</v>
      </c>
      <c r="E29" s="9" t="s">
        <v>25</v>
      </c>
      <c r="F29" s="9" t="s">
        <v>35</v>
      </c>
      <c r="G29" s="9" t="s">
        <v>36</v>
      </c>
      <c r="H29" s="5">
        <v>43</v>
      </c>
      <c r="I29" s="6">
        <v>38145</v>
      </c>
      <c r="J29" s="7">
        <v>246231</v>
      </c>
      <c r="K29" s="9" t="s">
        <v>19</v>
      </c>
      <c r="L29" s="9" t="s">
        <v>20</v>
      </c>
      <c r="M29">
        <f t="shared" ca="1" si="0"/>
        <v>21</v>
      </c>
      <c r="N29">
        <f t="shared" ca="1" si="1"/>
        <v>9.5</v>
      </c>
      <c r="O29" s="5"/>
    </row>
    <row r="30" spans="1:16" x14ac:dyDescent="0.3">
      <c r="A30" s="5" t="s">
        <v>1287</v>
      </c>
      <c r="B30" s="9" t="s">
        <v>1288</v>
      </c>
      <c r="C30" s="9" t="s">
        <v>14</v>
      </c>
      <c r="D30" s="9" t="s">
        <v>15</v>
      </c>
      <c r="E30" s="9" t="s">
        <v>16</v>
      </c>
      <c r="F30" s="9" t="s">
        <v>17</v>
      </c>
      <c r="G30" s="9" t="s">
        <v>26</v>
      </c>
      <c r="H30" s="5">
        <v>46</v>
      </c>
      <c r="I30" s="6">
        <v>37265</v>
      </c>
      <c r="J30" s="7">
        <v>148035</v>
      </c>
      <c r="K30" s="9" t="s">
        <v>19</v>
      </c>
      <c r="L30" s="9" t="s">
        <v>37</v>
      </c>
      <c r="M30">
        <f t="shared" ca="1" si="0"/>
        <v>23</v>
      </c>
      <c r="N30">
        <f t="shared" ca="1" si="1"/>
        <v>9.5</v>
      </c>
      <c r="O30" s="5"/>
    </row>
    <row r="31" spans="1:16" x14ac:dyDescent="0.3">
      <c r="A31" s="5" t="s">
        <v>767</v>
      </c>
      <c r="B31" s="9" t="s">
        <v>768</v>
      </c>
      <c r="C31" s="9" t="s">
        <v>67</v>
      </c>
      <c r="D31" s="9" t="s">
        <v>68</v>
      </c>
      <c r="E31" s="9" t="s">
        <v>41</v>
      </c>
      <c r="F31" s="9" t="s">
        <v>35</v>
      </c>
      <c r="G31" s="9" t="s">
        <v>36</v>
      </c>
      <c r="H31" s="5">
        <v>60</v>
      </c>
      <c r="I31" s="6">
        <v>39109</v>
      </c>
      <c r="J31" s="7">
        <v>234311</v>
      </c>
      <c r="K31" s="9" t="s">
        <v>19</v>
      </c>
      <c r="L31" s="9" t="s">
        <v>45</v>
      </c>
      <c r="M31">
        <f t="shared" ca="1" si="0"/>
        <v>18</v>
      </c>
      <c r="N31">
        <f t="shared" ca="1" si="1"/>
        <v>9.5</v>
      </c>
      <c r="O31" s="5"/>
    </row>
    <row r="32" spans="1:16" x14ac:dyDescent="0.3">
      <c r="A32" s="5" t="s">
        <v>69</v>
      </c>
      <c r="B32" s="9" t="s">
        <v>70</v>
      </c>
      <c r="C32" s="9" t="s">
        <v>23</v>
      </c>
      <c r="D32" s="9" t="s">
        <v>24</v>
      </c>
      <c r="E32" s="9" t="s">
        <v>16</v>
      </c>
      <c r="F32" s="9" t="s">
        <v>17</v>
      </c>
      <c r="G32" s="9" t="s">
        <v>18</v>
      </c>
      <c r="H32" s="5">
        <v>65</v>
      </c>
      <c r="I32" s="6">
        <v>37319</v>
      </c>
      <c r="J32" s="7">
        <v>175837</v>
      </c>
      <c r="K32" s="9" t="s">
        <v>19</v>
      </c>
      <c r="L32" s="9" t="s">
        <v>37</v>
      </c>
      <c r="M32">
        <f t="shared" ca="1" si="0"/>
        <v>23</v>
      </c>
      <c r="N32">
        <f t="shared" ca="1" si="1"/>
        <v>9.5</v>
      </c>
      <c r="O32" s="5"/>
    </row>
    <row r="33" spans="1:15" x14ac:dyDescent="0.3">
      <c r="A33" s="5" t="s">
        <v>241</v>
      </c>
      <c r="B33" s="9" t="s">
        <v>983</v>
      </c>
      <c r="C33" s="9" t="s">
        <v>23</v>
      </c>
      <c r="D33" s="9" t="s">
        <v>79</v>
      </c>
      <c r="E33" s="9" t="s">
        <v>31</v>
      </c>
      <c r="F33" s="9" t="s">
        <v>17</v>
      </c>
      <c r="G33" s="9" t="s">
        <v>18</v>
      </c>
      <c r="H33" s="5">
        <v>61</v>
      </c>
      <c r="I33" s="6">
        <v>35661</v>
      </c>
      <c r="J33" s="7">
        <v>159567</v>
      </c>
      <c r="K33" s="9" t="s">
        <v>19</v>
      </c>
      <c r="L33" s="9" t="s">
        <v>37</v>
      </c>
      <c r="M33">
        <f t="shared" ca="1" si="0"/>
        <v>28</v>
      </c>
      <c r="N33">
        <f t="shared" ca="1" si="1"/>
        <v>10</v>
      </c>
    </row>
    <row r="34" spans="1:15" x14ac:dyDescent="0.3">
      <c r="A34" s="5" t="s">
        <v>241</v>
      </c>
      <c r="B34" s="9" t="s">
        <v>242</v>
      </c>
      <c r="C34" s="9" t="s">
        <v>34</v>
      </c>
      <c r="D34" s="9" t="s">
        <v>68</v>
      </c>
      <c r="E34" s="9" t="s">
        <v>25</v>
      </c>
      <c r="F34" s="9" t="s">
        <v>17</v>
      </c>
      <c r="G34" s="9" t="s">
        <v>26</v>
      </c>
      <c r="H34" s="5">
        <v>35</v>
      </c>
      <c r="I34" s="6">
        <v>43715</v>
      </c>
      <c r="J34" s="7">
        <v>70992</v>
      </c>
      <c r="K34" s="9" t="s">
        <v>19</v>
      </c>
      <c r="L34" s="9" t="s">
        <v>51</v>
      </c>
      <c r="M34">
        <f t="shared" ca="1" si="0"/>
        <v>6</v>
      </c>
      <c r="N34">
        <f t="shared" ca="1" si="1"/>
        <v>4</v>
      </c>
      <c r="O34" s="5"/>
    </row>
    <row r="35" spans="1:15" x14ac:dyDescent="0.3">
      <c r="A35" s="5" t="s">
        <v>405</v>
      </c>
      <c r="B35" s="9" t="s">
        <v>406</v>
      </c>
      <c r="C35" s="9" t="s">
        <v>34</v>
      </c>
      <c r="D35" s="9" t="s">
        <v>79</v>
      </c>
      <c r="E35" s="9" t="s">
        <v>25</v>
      </c>
      <c r="F35" s="9" t="s">
        <v>17</v>
      </c>
      <c r="G35" s="9" t="s">
        <v>26</v>
      </c>
      <c r="H35" s="5">
        <v>26</v>
      </c>
      <c r="I35" s="6">
        <v>43752</v>
      </c>
      <c r="J35" s="7">
        <v>79356</v>
      </c>
      <c r="K35" s="9" t="s">
        <v>19</v>
      </c>
      <c r="L35" s="9" t="s">
        <v>37</v>
      </c>
      <c r="M35">
        <f t="shared" ca="1" si="0"/>
        <v>6</v>
      </c>
      <c r="N35">
        <f t="shared" ca="1" si="1"/>
        <v>4</v>
      </c>
      <c r="O35" s="5"/>
    </row>
    <row r="36" spans="1:15" x14ac:dyDescent="0.3">
      <c r="A36" s="5" t="s">
        <v>1479</v>
      </c>
      <c r="B36" s="9" t="s">
        <v>1480</v>
      </c>
      <c r="C36" s="9" t="s">
        <v>34</v>
      </c>
      <c r="D36" s="9" t="s">
        <v>68</v>
      </c>
      <c r="E36" s="9" t="s">
        <v>41</v>
      </c>
      <c r="F36" s="9" t="s">
        <v>17</v>
      </c>
      <c r="G36" s="9" t="s">
        <v>36</v>
      </c>
      <c r="H36" s="5">
        <v>46</v>
      </c>
      <c r="I36" s="6">
        <v>37271</v>
      </c>
      <c r="J36" s="7">
        <v>86510</v>
      </c>
      <c r="K36" s="9" t="s">
        <v>1310</v>
      </c>
      <c r="L36" s="9" t="s">
        <v>1323</v>
      </c>
      <c r="M36">
        <f t="shared" ca="1" si="0"/>
        <v>23</v>
      </c>
      <c r="N36">
        <f t="shared" ca="1" si="1"/>
        <v>9.5</v>
      </c>
      <c r="O36" s="5"/>
    </row>
    <row r="37" spans="1:15" x14ac:dyDescent="0.3">
      <c r="A37" s="5" t="s">
        <v>1886</v>
      </c>
      <c r="B37" s="9" t="s">
        <v>1887</v>
      </c>
      <c r="C37" s="9" t="s">
        <v>44</v>
      </c>
      <c r="D37" s="9" t="s">
        <v>50</v>
      </c>
      <c r="E37" s="9" t="s">
        <v>31</v>
      </c>
      <c r="F37" s="9" t="s">
        <v>35</v>
      </c>
      <c r="G37" s="9" t="s">
        <v>73</v>
      </c>
      <c r="H37" s="5">
        <v>58</v>
      </c>
      <c r="I37" s="6">
        <v>40287</v>
      </c>
      <c r="J37" s="7">
        <v>56350</v>
      </c>
      <c r="K37" s="9" t="s">
        <v>1717</v>
      </c>
      <c r="L37" s="9" t="s">
        <v>1721</v>
      </c>
      <c r="M37">
        <f t="shared" ca="1" si="0"/>
        <v>15</v>
      </c>
      <c r="N37">
        <f t="shared" ca="1" si="1"/>
        <v>8</v>
      </c>
    </row>
    <row r="38" spans="1:15" x14ac:dyDescent="0.3">
      <c r="A38" s="5" t="s">
        <v>417</v>
      </c>
      <c r="B38" s="9" t="s">
        <v>418</v>
      </c>
      <c r="C38" s="9" t="s">
        <v>23</v>
      </c>
      <c r="D38" s="9" t="s">
        <v>24</v>
      </c>
      <c r="E38" s="9" t="s">
        <v>16</v>
      </c>
      <c r="F38" s="9" t="s">
        <v>35</v>
      </c>
      <c r="G38" s="9" t="s">
        <v>36</v>
      </c>
      <c r="H38" s="5">
        <v>64</v>
      </c>
      <c r="I38" s="6">
        <v>35187</v>
      </c>
      <c r="J38" s="7">
        <v>189933</v>
      </c>
      <c r="K38" s="9" t="s">
        <v>19</v>
      </c>
      <c r="L38" s="9" t="s">
        <v>45</v>
      </c>
      <c r="M38">
        <f t="shared" ca="1" si="0"/>
        <v>29</v>
      </c>
      <c r="N38">
        <f t="shared" ca="1" si="1"/>
        <v>10</v>
      </c>
    </row>
    <row r="39" spans="1:15" x14ac:dyDescent="0.3">
      <c r="A39" s="5" t="s">
        <v>1173</v>
      </c>
      <c r="B39" s="9" t="s">
        <v>1174</v>
      </c>
      <c r="C39" s="9" t="s">
        <v>139</v>
      </c>
      <c r="D39" s="9" t="s">
        <v>56</v>
      </c>
      <c r="E39" s="9" t="s">
        <v>25</v>
      </c>
      <c r="F39" s="9" t="s">
        <v>17</v>
      </c>
      <c r="G39" s="9" t="s">
        <v>36</v>
      </c>
      <c r="H39" s="5">
        <v>53</v>
      </c>
      <c r="I39" s="6">
        <v>42985</v>
      </c>
      <c r="J39" s="7">
        <v>46727</v>
      </c>
      <c r="K39" s="9" t="s">
        <v>19</v>
      </c>
      <c r="L39" s="9" t="s">
        <v>76</v>
      </c>
      <c r="M39">
        <f t="shared" ca="1" si="0"/>
        <v>8</v>
      </c>
      <c r="N39">
        <f t="shared" ca="1" si="1"/>
        <v>5.5</v>
      </c>
    </row>
    <row r="40" spans="1:15" x14ac:dyDescent="0.3">
      <c r="A40" s="5" t="s">
        <v>1609</v>
      </c>
      <c r="B40" s="9" t="s">
        <v>1610</v>
      </c>
      <c r="C40" s="9" t="s">
        <v>40</v>
      </c>
      <c r="D40" s="9" t="s">
        <v>24</v>
      </c>
      <c r="E40" s="9" t="s">
        <v>41</v>
      </c>
      <c r="F40" s="9" t="s">
        <v>35</v>
      </c>
      <c r="G40" s="9" t="s">
        <v>36</v>
      </c>
      <c r="H40" s="5">
        <v>52</v>
      </c>
      <c r="I40" s="6">
        <v>40091</v>
      </c>
      <c r="J40" s="7">
        <v>122890</v>
      </c>
      <c r="K40" s="9" t="s">
        <v>1310</v>
      </c>
      <c r="L40" s="9" t="s">
        <v>1316</v>
      </c>
      <c r="M40">
        <f t="shared" ca="1" si="0"/>
        <v>16</v>
      </c>
      <c r="N40">
        <f t="shared" ca="1" si="1"/>
        <v>8</v>
      </c>
    </row>
    <row r="41" spans="1:15" x14ac:dyDescent="0.3">
      <c r="A41" s="5" t="s">
        <v>1467</v>
      </c>
      <c r="B41" s="9" t="s">
        <v>1468</v>
      </c>
      <c r="C41" s="9" t="s">
        <v>67</v>
      </c>
      <c r="D41" s="9" t="s">
        <v>56</v>
      </c>
      <c r="E41" s="9" t="s">
        <v>31</v>
      </c>
      <c r="F41" s="9" t="s">
        <v>17</v>
      </c>
      <c r="G41" s="9" t="s">
        <v>36</v>
      </c>
      <c r="H41" s="5">
        <v>52</v>
      </c>
      <c r="I41" s="6">
        <v>41113</v>
      </c>
      <c r="J41" s="7">
        <v>187048</v>
      </c>
      <c r="K41" s="9" t="s">
        <v>1310</v>
      </c>
      <c r="L41" s="9" t="s">
        <v>1330</v>
      </c>
      <c r="M41">
        <f t="shared" ca="1" si="0"/>
        <v>13</v>
      </c>
      <c r="N41">
        <f t="shared" ca="1" si="1"/>
        <v>8</v>
      </c>
    </row>
    <row r="42" spans="1:15" x14ac:dyDescent="0.3">
      <c r="A42" s="5" t="s">
        <v>657</v>
      </c>
      <c r="B42" s="9" t="s">
        <v>658</v>
      </c>
      <c r="C42" s="9" t="s">
        <v>67</v>
      </c>
      <c r="D42" s="9" t="s">
        <v>79</v>
      </c>
      <c r="E42" s="9" t="s">
        <v>25</v>
      </c>
      <c r="F42" s="9" t="s">
        <v>35</v>
      </c>
      <c r="G42" s="9" t="s">
        <v>36</v>
      </c>
      <c r="H42" s="5">
        <v>47</v>
      </c>
      <c r="I42" s="6">
        <v>42696</v>
      </c>
      <c r="J42" s="7">
        <v>253249</v>
      </c>
      <c r="K42" s="9" t="s">
        <v>19</v>
      </c>
      <c r="L42" s="9" t="s">
        <v>51</v>
      </c>
      <c r="M42">
        <f t="shared" ca="1" si="0"/>
        <v>9</v>
      </c>
      <c r="N42">
        <f t="shared" ca="1" si="1"/>
        <v>5.5</v>
      </c>
    </row>
    <row r="43" spans="1:15" x14ac:dyDescent="0.3">
      <c r="A43" s="5" t="s">
        <v>1210</v>
      </c>
      <c r="B43" s="9" t="s">
        <v>1211</v>
      </c>
      <c r="C43" s="9" t="s">
        <v>23</v>
      </c>
      <c r="D43" s="9" t="s">
        <v>24</v>
      </c>
      <c r="E43" s="9" t="s">
        <v>41</v>
      </c>
      <c r="F43" s="9" t="s">
        <v>35</v>
      </c>
      <c r="G43" s="9" t="s">
        <v>73</v>
      </c>
      <c r="H43" s="5">
        <v>31</v>
      </c>
      <c r="I43" s="6">
        <v>42957</v>
      </c>
      <c r="J43" s="7">
        <v>156931</v>
      </c>
      <c r="K43" s="9" t="s">
        <v>19</v>
      </c>
      <c r="L43" s="9" t="s">
        <v>20</v>
      </c>
      <c r="M43">
        <f t="shared" ca="1" si="0"/>
        <v>8</v>
      </c>
      <c r="N43">
        <f t="shared" ca="1" si="1"/>
        <v>5.5</v>
      </c>
    </row>
    <row r="44" spans="1:15" x14ac:dyDescent="0.3">
      <c r="A44" s="5" t="s">
        <v>308</v>
      </c>
      <c r="B44" s="9" t="s">
        <v>309</v>
      </c>
      <c r="C44" s="9" t="s">
        <v>307</v>
      </c>
      <c r="D44" s="9" t="s">
        <v>15</v>
      </c>
      <c r="E44" s="9" t="s">
        <v>31</v>
      </c>
      <c r="F44" s="9" t="s">
        <v>17</v>
      </c>
      <c r="G44" s="9" t="s">
        <v>73</v>
      </c>
      <c r="H44" s="5">
        <v>36</v>
      </c>
      <c r="I44" s="6">
        <v>43818</v>
      </c>
      <c r="J44" s="7">
        <v>91954</v>
      </c>
      <c r="K44" s="9" t="s">
        <v>19</v>
      </c>
      <c r="L44" s="9" t="s">
        <v>76</v>
      </c>
      <c r="M44">
        <f t="shared" ca="1" si="0"/>
        <v>5</v>
      </c>
      <c r="N44">
        <f t="shared" ca="1" si="1"/>
        <v>3</v>
      </c>
    </row>
    <row r="45" spans="1:15" x14ac:dyDescent="0.3">
      <c r="A45" s="5" t="s">
        <v>387</v>
      </c>
      <c r="B45" s="9" t="s">
        <v>388</v>
      </c>
      <c r="C45" s="9" t="s">
        <v>191</v>
      </c>
      <c r="D45" s="9" t="s">
        <v>60</v>
      </c>
      <c r="E45" s="9" t="s">
        <v>41</v>
      </c>
      <c r="F45" s="9" t="s">
        <v>35</v>
      </c>
      <c r="G45" s="9" t="s">
        <v>73</v>
      </c>
      <c r="H45" s="5">
        <v>64</v>
      </c>
      <c r="I45" s="6">
        <v>33875</v>
      </c>
      <c r="J45" s="7">
        <v>70778</v>
      </c>
      <c r="K45" s="9" t="s">
        <v>19</v>
      </c>
      <c r="L45" s="9" t="s">
        <v>51</v>
      </c>
      <c r="M45">
        <f t="shared" ca="1" si="0"/>
        <v>33</v>
      </c>
      <c r="N45">
        <f t="shared" ca="1" si="1"/>
        <v>15</v>
      </c>
    </row>
    <row r="46" spans="1:15" x14ac:dyDescent="0.3">
      <c r="A46" s="5" t="s">
        <v>387</v>
      </c>
      <c r="B46" s="9" t="s">
        <v>955</v>
      </c>
      <c r="C46" s="9" t="s">
        <v>40</v>
      </c>
      <c r="D46" s="9" t="s">
        <v>79</v>
      </c>
      <c r="E46" s="9" t="s">
        <v>41</v>
      </c>
      <c r="F46" s="9" t="s">
        <v>35</v>
      </c>
      <c r="G46" s="9" t="s">
        <v>18</v>
      </c>
      <c r="H46" s="5">
        <v>42</v>
      </c>
      <c r="I46" s="6">
        <v>40692</v>
      </c>
      <c r="J46" s="7">
        <v>102440</v>
      </c>
      <c r="K46" s="9" t="s">
        <v>19</v>
      </c>
      <c r="L46" s="9" t="s">
        <v>27</v>
      </c>
      <c r="M46">
        <f t="shared" ca="1" si="0"/>
        <v>14</v>
      </c>
      <c r="N46">
        <f t="shared" ca="1" si="1"/>
        <v>8</v>
      </c>
    </row>
    <row r="47" spans="1:15" x14ac:dyDescent="0.3">
      <c r="A47" s="5" t="s">
        <v>164</v>
      </c>
      <c r="B47" s="9" t="s">
        <v>165</v>
      </c>
      <c r="C47" s="9" t="s">
        <v>91</v>
      </c>
      <c r="D47" s="9" t="s">
        <v>24</v>
      </c>
      <c r="E47" s="9" t="s">
        <v>41</v>
      </c>
      <c r="F47" s="9" t="s">
        <v>35</v>
      </c>
      <c r="G47" s="9" t="s">
        <v>73</v>
      </c>
      <c r="H47" s="5">
        <v>34</v>
      </c>
      <c r="I47" s="6">
        <v>42182</v>
      </c>
      <c r="J47" s="7">
        <v>57008</v>
      </c>
      <c r="K47" s="9" t="s">
        <v>19</v>
      </c>
      <c r="L47" s="9" t="s">
        <v>37</v>
      </c>
      <c r="M47">
        <f t="shared" ca="1" si="0"/>
        <v>10</v>
      </c>
      <c r="N47">
        <f t="shared" ca="1" si="1"/>
        <v>5.5</v>
      </c>
    </row>
    <row r="48" spans="1:15" x14ac:dyDescent="0.3">
      <c r="A48" s="5" t="s">
        <v>496</v>
      </c>
      <c r="B48" s="9" t="s">
        <v>497</v>
      </c>
      <c r="C48" s="9" t="s">
        <v>116</v>
      </c>
      <c r="D48" s="9" t="s">
        <v>60</v>
      </c>
      <c r="E48" s="9" t="s">
        <v>31</v>
      </c>
      <c r="F48" s="9" t="s">
        <v>17</v>
      </c>
      <c r="G48" s="9" t="s">
        <v>73</v>
      </c>
      <c r="H48" s="5">
        <v>60</v>
      </c>
      <c r="I48" s="6">
        <v>35992</v>
      </c>
      <c r="J48" s="7">
        <v>92932</v>
      </c>
      <c r="K48" s="9" t="s">
        <v>19</v>
      </c>
      <c r="L48" s="9" t="s">
        <v>76</v>
      </c>
      <c r="M48">
        <f t="shared" ca="1" si="0"/>
        <v>27</v>
      </c>
      <c r="N48">
        <f t="shared" ca="1" si="1"/>
        <v>10</v>
      </c>
    </row>
    <row r="49" spans="1:14" x14ac:dyDescent="0.3">
      <c r="A49" s="5" t="s">
        <v>1841</v>
      </c>
      <c r="B49" s="9" t="s">
        <v>1842</v>
      </c>
      <c r="C49" s="9" t="s">
        <v>23</v>
      </c>
      <c r="D49" s="9" t="s">
        <v>60</v>
      </c>
      <c r="E49" s="9" t="s">
        <v>41</v>
      </c>
      <c r="F49" s="9" t="s">
        <v>35</v>
      </c>
      <c r="G49" s="9" t="s">
        <v>73</v>
      </c>
      <c r="H49" s="5">
        <v>48</v>
      </c>
      <c r="I49" s="6">
        <v>43809</v>
      </c>
      <c r="J49" s="7">
        <v>183113</v>
      </c>
      <c r="K49" s="9" t="s">
        <v>1717</v>
      </c>
      <c r="L49" s="9" t="s">
        <v>1721</v>
      </c>
      <c r="M49">
        <f t="shared" ca="1" si="0"/>
        <v>5</v>
      </c>
      <c r="N49">
        <f t="shared" ca="1" si="1"/>
        <v>3</v>
      </c>
    </row>
    <row r="50" spans="1:14" x14ac:dyDescent="0.3">
      <c r="A50" s="5" t="s">
        <v>420</v>
      </c>
      <c r="B50" s="9" t="s">
        <v>421</v>
      </c>
      <c r="C50" s="9" t="s">
        <v>34</v>
      </c>
      <c r="D50" s="9" t="s">
        <v>79</v>
      </c>
      <c r="E50" s="9" t="s">
        <v>41</v>
      </c>
      <c r="F50" s="9" t="s">
        <v>35</v>
      </c>
      <c r="G50" s="9" t="s">
        <v>18</v>
      </c>
      <c r="H50" s="5">
        <v>43</v>
      </c>
      <c r="I50" s="6">
        <v>38093</v>
      </c>
      <c r="J50" s="7">
        <v>94246</v>
      </c>
      <c r="K50" s="9" t="s">
        <v>19</v>
      </c>
      <c r="L50" s="9" t="s">
        <v>51</v>
      </c>
      <c r="M50">
        <f t="shared" ca="1" si="0"/>
        <v>21</v>
      </c>
      <c r="N50">
        <f t="shared" ca="1" si="1"/>
        <v>9.5</v>
      </c>
    </row>
    <row r="51" spans="1:14" x14ac:dyDescent="0.3">
      <c r="A51" s="5" t="s">
        <v>369</v>
      </c>
      <c r="B51" s="9" t="s">
        <v>1018</v>
      </c>
      <c r="C51" s="9" t="s">
        <v>40</v>
      </c>
      <c r="D51" s="9" t="s">
        <v>56</v>
      </c>
      <c r="E51" s="9" t="s">
        <v>41</v>
      </c>
      <c r="F51" s="9" t="s">
        <v>35</v>
      </c>
      <c r="G51" s="9" t="s">
        <v>26</v>
      </c>
      <c r="H51" s="5">
        <v>45</v>
      </c>
      <c r="I51" s="6">
        <v>41099</v>
      </c>
      <c r="J51" s="7">
        <v>109883</v>
      </c>
      <c r="K51" s="9" t="s">
        <v>19</v>
      </c>
      <c r="L51" s="9" t="s">
        <v>76</v>
      </c>
      <c r="M51">
        <f t="shared" ca="1" si="0"/>
        <v>13</v>
      </c>
      <c r="N51">
        <f t="shared" ca="1" si="1"/>
        <v>8</v>
      </c>
    </row>
    <row r="52" spans="1:14" x14ac:dyDescent="0.3">
      <c r="A52" s="5" t="s">
        <v>369</v>
      </c>
      <c r="B52" s="9" t="s">
        <v>1894</v>
      </c>
      <c r="C52" s="9" t="s">
        <v>142</v>
      </c>
      <c r="D52" s="9" t="s">
        <v>60</v>
      </c>
      <c r="E52" s="9" t="s">
        <v>16</v>
      </c>
      <c r="F52" s="9" t="s">
        <v>17</v>
      </c>
      <c r="G52" s="9" t="s">
        <v>73</v>
      </c>
      <c r="H52" s="5">
        <v>37</v>
      </c>
      <c r="I52" s="6">
        <v>43461</v>
      </c>
      <c r="J52" s="7">
        <v>87359</v>
      </c>
      <c r="K52" s="9" t="s">
        <v>1717</v>
      </c>
      <c r="L52" s="9" t="s">
        <v>1721</v>
      </c>
      <c r="M52">
        <f t="shared" ca="1" si="0"/>
        <v>6</v>
      </c>
      <c r="N52">
        <f t="shared" ca="1" si="1"/>
        <v>4</v>
      </c>
    </row>
    <row r="53" spans="1:14" x14ac:dyDescent="0.3">
      <c r="A53" s="5" t="s">
        <v>369</v>
      </c>
      <c r="B53" s="9" t="s">
        <v>370</v>
      </c>
      <c r="C53" s="9" t="s">
        <v>14</v>
      </c>
      <c r="D53" s="9" t="s">
        <v>50</v>
      </c>
      <c r="E53" s="9" t="s">
        <v>41</v>
      </c>
      <c r="F53" s="9" t="s">
        <v>35</v>
      </c>
      <c r="G53" s="9" t="s">
        <v>26</v>
      </c>
      <c r="H53" s="5">
        <v>33</v>
      </c>
      <c r="I53" s="6">
        <v>41315</v>
      </c>
      <c r="J53" s="7">
        <v>144231</v>
      </c>
      <c r="K53" s="9" t="s">
        <v>19</v>
      </c>
      <c r="L53" s="9" t="s">
        <v>76</v>
      </c>
      <c r="M53">
        <f t="shared" ca="1" si="0"/>
        <v>12</v>
      </c>
      <c r="N53">
        <f t="shared" ca="1" si="1"/>
        <v>8</v>
      </c>
    </row>
    <row r="54" spans="1:14" x14ac:dyDescent="0.3">
      <c r="A54" s="5" t="s">
        <v>1262</v>
      </c>
      <c r="B54" s="9" t="s">
        <v>1263</v>
      </c>
      <c r="C54" s="9" t="s">
        <v>91</v>
      </c>
      <c r="D54" s="9" t="s">
        <v>50</v>
      </c>
      <c r="E54" s="9" t="s">
        <v>16</v>
      </c>
      <c r="F54" s="9" t="s">
        <v>35</v>
      </c>
      <c r="G54" s="9" t="s">
        <v>73</v>
      </c>
      <c r="H54" s="5">
        <v>58</v>
      </c>
      <c r="I54" s="6">
        <v>38819</v>
      </c>
      <c r="J54" s="7">
        <v>64202</v>
      </c>
      <c r="K54" s="9" t="s">
        <v>19</v>
      </c>
      <c r="L54" s="9" t="s">
        <v>76</v>
      </c>
      <c r="M54">
        <f t="shared" ca="1" si="0"/>
        <v>19</v>
      </c>
      <c r="N54">
        <f t="shared" ca="1" si="1"/>
        <v>9.5</v>
      </c>
    </row>
    <row r="55" spans="1:14" x14ac:dyDescent="0.3">
      <c r="A55" s="5" t="s">
        <v>1056</v>
      </c>
      <c r="B55" s="9" t="s">
        <v>1057</v>
      </c>
      <c r="C55" s="9" t="s">
        <v>40</v>
      </c>
      <c r="D55" s="9" t="s">
        <v>24</v>
      </c>
      <c r="E55" s="9" t="s">
        <v>25</v>
      </c>
      <c r="F55" s="9" t="s">
        <v>35</v>
      </c>
      <c r="G55" s="9" t="s">
        <v>26</v>
      </c>
      <c r="H55" s="5">
        <v>60</v>
      </c>
      <c r="I55" s="6">
        <v>40344</v>
      </c>
      <c r="J55" s="7">
        <v>106578</v>
      </c>
      <c r="K55" s="9" t="s">
        <v>19</v>
      </c>
      <c r="L55" s="9" t="s">
        <v>45</v>
      </c>
      <c r="M55">
        <f t="shared" ca="1" si="0"/>
        <v>15</v>
      </c>
      <c r="N55">
        <f t="shared" ca="1" si="1"/>
        <v>8</v>
      </c>
    </row>
    <row r="56" spans="1:14" x14ac:dyDescent="0.3">
      <c r="A56" s="5" t="s">
        <v>1056</v>
      </c>
      <c r="B56" s="9" t="s">
        <v>1283</v>
      </c>
      <c r="C56" s="9" t="s">
        <v>577</v>
      </c>
      <c r="D56" s="9" t="s">
        <v>15</v>
      </c>
      <c r="E56" s="9" t="s">
        <v>41</v>
      </c>
      <c r="F56" s="9" t="s">
        <v>35</v>
      </c>
      <c r="G56" s="9" t="s">
        <v>73</v>
      </c>
      <c r="H56" s="5">
        <v>48</v>
      </c>
      <c r="I56" s="6">
        <v>39635</v>
      </c>
      <c r="J56" s="7">
        <v>94815</v>
      </c>
      <c r="K56" s="9" t="s">
        <v>19</v>
      </c>
      <c r="L56" s="9" t="s">
        <v>27</v>
      </c>
      <c r="M56">
        <f t="shared" ca="1" si="0"/>
        <v>17</v>
      </c>
      <c r="N56">
        <f t="shared" ca="1" si="1"/>
        <v>8</v>
      </c>
    </row>
    <row r="57" spans="1:14" x14ac:dyDescent="0.3">
      <c r="A57" s="5" t="s">
        <v>1324</v>
      </c>
      <c r="B57" s="9" t="s">
        <v>1325</v>
      </c>
      <c r="C57" s="9" t="s">
        <v>67</v>
      </c>
      <c r="D57" s="9" t="s">
        <v>15</v>
      </c>
      <c r="E57" s="9" t="s">
        <v>41</v>
      </c>
      <c r="F57" s="9" t="s">
        <v>35</v>
      </c>
      <c r="G57" s="9" t="s">
        <v>36</v>
      </c>
      <c r="H57" s="5">
        <v>63</v>
      </c>
      <c r="I57" s="6">
        <v>41040</v>
      </c>
      <c r="J57" s="7">
        <v>231141</v>
      </c>
      <c r="K57" s="9" t="s">
        <v>1310</v>
      </c>
      <c r="L57" s="9" t="s">
        <v>1323</v>
      </c>
      <c r="M57">
        <f t="shared" ca="1" si="0"/>
        <v>13</v>
      </c>
      <c r="N57">
        <f t="shared" ca="1" si="1"/>
        <v>8</v>
      </c>
    </row>
    <row r="58" spans="1:14" x14ac:dyDescent="0.3">
      <c r="A58" s="5" t="s">
        <v>239</v>
      </c>
      <c r="B58" s="9" t="s">
        <v>470</v>
      </c>
      <c r="C58" s="9" t="s">
        <v>116</v>
      </c>
      <c r="D58" s="9" t="s">
        <v>60</v>
      </c>
      <c r="E58" s="9" t="s">
        <v>41</v>
      </c>
      <c r="F58" s="9" t="s">
        <v>17</v>
      </c>
      <c r="G58" s="9" t="s">
        <v>26</v>
      </c>
      <c r="H58" s="5">
        <v>45</v>
      </c>
      <c r="I58" s="6">
        <v>43635</v>
      </c>
      <c r="J58" s="7">
        <v>88045</v>
      </c>
      <c r="K58" s="9" t="s">
        <v>19</v>
      </c>
      <c r="L58" s="9" t="s">
        <v>27</v>
      </c>
      <c r="M58">
        <f t="shared" ca="1" si="0"/>
        <v>6</v>
      </c>
      <c r="N58">
        <f t="shared" ca="1" si="1"/>
        <v>4</v>
      </c>
    </row>
    <row r="59" spans="1:14" x14ac:dyDescent="0.3">
      <c r="A59" s="5" t="s">
        <v>239</v>
      </c>
      <c r="B59" s="9" t="s">
        <v>240</v>
      </c>
      <c r="C59" s="9" t="s">
        <v>96</v>
      </c>
      <c r="D59" s="9" t="s">
        <v>15</v>
      </c>
      <c r="E59" s="9" t="s">
        <v>31</v>
      </c>
      <c r="F59" s="9" t="s">
        <v>35</v>
      </c>
      <c r="G59" s="9" t="s">
        <v>26</v>
      </c>
      <c r="H59" s="5">
        <v>40</v>
      </c>
      <c r="I59" s="6">
        <v>40565</v>
      </c>
      <c r="J59" s="7">
        <v>97339</v>
      </c>
      <c r="K59" s="9" t="s">
        <v>19</v>
      </c>
      <c r="L59" s="9" t="s">
        <v>51</v>
      </c>
      <c r="M59">
        <f t="shared" ca="1" si="0"/>
        <v>14</v>
      </c>
      <c r="N59">
        <f t="shared" ca="1" si="1"/>
        <v>8</v>
      </c>
    </row>
    <row r="60" spans="1:14" x14ac:dyDescent="0.3">
      <c r="A60" s="5" t="s">
        <v>481</v>
      </c>
      <c r="B60" s="9" t="s">
        <v>482</v>
      </c>
      <c r="C60" s="9" t="s">
        <v>139</v>
      </c>
      <c r="D60" s="9" t="s">
        <v>56</v>
      </c>
      <c r="E60" s="9" t="s">
        <v>25</v>
      </c>
      <c r="F60" s="9" t="s">
        <v>17</v>
      </c>
      <c r="G60" s="9" t="s">
        <v>73</v>
      </c>
      <c r="H60" s="5">
        <v>34</v>
      </c>
      <c r="I60" s="6">
        <v>42664</v>
      </c>
      <c r="J60" s="7">
        <v>52811</v>
      </c>
      <c r="K60" s="9" t="s">
        <v>19</v>
      </c>
      <c r="L60" s="9" t="s">
        <v>45</v>
      </c>
      <c r="M60">
        <f t="shared" ca="1" si="0"/>
        <v>9</v>
      </c>
      <c r="N60">
        <f t="shared" ca="1" si="1"/>
        <v>5.5</v>
      </c>
    </row>
    <row r="61" spans="1:14" x14ac:dyDescent="0.3">
      <c r="A61" s="5" t="s">
        <v>777</v>
      </c>
      <c r="B61" s="9" t="s">
        <v>778</v>
      </c>
      <c r="C61" s="9" t="s">
        <v>307</v>
      </c>
      <c r="D61" s="9" t="s">
        <v>15</v>
      </c>
      <c r="E61" s="9" t="s">
        <v>31</v>
      </c>
      <c r="F61" s="9" t="s">
        <v>35</v>
      </c>
      <c r="G61" s="9" t="s">
        <v>26</v>
      </c>
      <c r="H61" s="5">
        <v>55</v>
      </c>
      <c r="I61" s="6">
        <v>41565</v>
      </c>
      <c r="J61" s="7">
        <v>70334</v>
      </c>
      <c r="K61" s="9" t="s">
        <v>19</v>
      </c>
      <c r="L61" s="9" t="s">
        <v>45</v>
      </c>
      <c r="M61">
        <f t="shared" ca="1" si="0"/>
        <v>12</v>
      </c>
      <c r="N61">
        <f t="shared" ca="1" si="1"/>
        <v>8</v>
      </c>
    </row>
    <row r="62" spans="1:14" x14ac:dyDescent="0.3">
      <c r="A62" s="5" t="s">
        <v>1641</v>
      </c>
      <c r="B62" s="9" t="s">
        <v>1642</v>
      </c>
      <c r="C62" s="9" t="s">
        <v>40</v>
      </c>
      <c r="D62" s="9" t="s">
        <v>24</v>
      </c>
      <c r="E62" s="9" t="s">
        <v>16</v>
      </c>
      <c r="F62" s="9" t="s">
        <v>17</v>
      </c>
      <c r="G62" s="9" t="s">
        <v>36</v>
      </c>
      <c r="H62" s="5">
        <v>37</v>
      </c>
      <c r="I62" s="6">
        <v>42605</v>
      </c>
      <c r="J62" s="7">
        <v>124928</v>
      </c>
      <c r="K62" s="9" t="s">
        <v>1310</v>
      </c>
      <c r="L62" s="9" t="s">
        <v>1311</v>
      </c>
      <c r="M62">
        <f t="shared" ca="1" si="0"/>
        <v>9</v>
      </c>
      <c r="N62">
        <f t="shared" ca="1" si="1"/>
        <v>5.5</v>
      </c>
    </row>
    <row r="63" spans="1:14" x14ac:dyDescent="0.3">
      <c r="A63" s="5" t="s">
        <v>1532</v>
      </c>
      <c r="B63" s="9" t="s">
        <v>1533</v>
      </c>
      <c r="C63" s="9" t="s">
        <v>67</v>
      </c>
      <c r="D63" s="9" t="s">
        <v>68</v>
      </c>
      <c r="E63" s="9" t="s">
        <v>16</v>
      </c>
      <c r="F63" s="9" t="s">
        <v>35</v>
      </c>
      <c r="G63" s="9" t="s">
        <v>36</v>
      </c>
      <c r="H63" s="5">
        <v>39</v>
      </c>
      <c r="I63" s="6">
        <v>43804</v>
      </c>
      <c r="J63" s="7">
        <v>254057</v>
      </c>
      <c r="K63" s="9" t="s">
        <v>1310</v>
      </c>
      <c r="L63" s="9" t="s">
        <v>1316</v>
      </c>
      <c r="M63">
        <f t="shared" ca="1" si="0"/>
        <v>5</v>
      </c>
      <c r="N63">
        <f t="shared" ca="1" si="1"/>
        <v>3</v>
      </c>
    </row>
    <row r="64" spans="1:14" x14ac:dyDescent="0.3">
      <c r="A64" s="5" t="s">
        <v>1126</v>
      </c>
      <c r="B64" s="9" t="s">
        <v>1127</v>
      </c>
      <c r="C64" s="9" t="s">
        <v>139</v>
      </c>
      <c r="D64" s="9" t="s">
        <v>56</v>
      </c>
      <c r="E64" s="9" t="s">
        <v>16</v>
      </c>
      <c r="F64" s="9" t="s">
        <v>17</v>
      </c>
      <c r="G64" s="9" t="s">
        <v>26</v>
      </c>
      <c r="H64" s="5">
        <v>56</v>
      </c>
      <c r="I64" s="6">
        <v>40045</v>
      </c>
      <c r="J64" s="7">
        <v>52800</v>
      </c>
      <c r="K64" s="9" t="s">
        <v>19</v>
      </c>
      <c r="L64" s="9" t="s">
        <v>37</v>
      </c>
      <c r="M64">
        <f t="shared" ca="1" si="0"/>
        <v>16</v>
      </c>
      <c r="N64">
        <f t="shared" ca="1" si="1"/>
        <v>8</v>
      </c>
    </row>
    <row r="65" spans="1:14" x14ac:dyDescent="0.3">
      <c r="A65" s="5" t="s">
        <v>1650</v>
      </c>
      <c r="B65" s="9" t="s">
        <v>1651</v>
      </c>
      <c r="C65" s="9" t="s">
        <v>40</v>
      </c>
      <c r="D65" s="9" t="s">
        <v>24</v>
      </c>
      <c r="E65" s="9" t="s">
        <v>41</v>
      </c>
      <c r="F65" s="9" t="s">
        <v>35</v>
      </c>
      <c r="G65" s="9" t="s">
        <v>36</v>
      </c>
      <c r="H65" s="5">
        <v>63</v>
      </c>
      <c r="I65" s="6">
        <v>38096</v>
      </c>
      <c r="J65" s="7">
        <v>122487</v>
      </c>
      <c r="K65" s="9" t="s">
        <v>1310</v>
      </c>
      <c r="L65" s="9" t="s">
        <v>1316</v>
      </c>
      <c r="M65">
        <f t="shared" ca="1" si="0"/>
        <v>21</v>
      </c>
      <c r="N65">
        <f t="shared" ca="1" si="1"/>
        <v>9.5</v>
      </c>
    </row>
    <row r="66" spans="1:14" x14ac:dyDescent="0.3">
      <c r="A66" s="5" t="s">
        <v>1510</v>
      </c>
      <c r="B66" s="9" t="s">
        <v>1511</v>
      </c>
      <c r="C66" s="9" t="s">
        <v>23</v>
      </c>
      <c r="D66" s="9" t="s">
        <v>15</v>
      </c>
      <c r="E66" s="9" t="s">
        <v>16</v>
      </c>
      <c r="F66" s="9" t="s">
        <v>17</v>
      </c>
      <c r="G66" s="9" t="s">
        <v>36</v>
      </c>
      <c r="H66" s="5">
        <v>52</v>
      </c>
      <c r="I66" s="6">
        <v>35109</v>
      </c>
      <c r="J66" s="7">
        <v>159724</v>
      </c>
      <c r="K66" s="9" t="s">
        <v>1310</v>
      </c>
      <c r="L66" s="9" t="s">
        <v>1323</v>
      </c>
      <c r="M66">
        <f t="shared" ca="1" si="0"/>
        <v>29</v>
      </c>
      <c r="N66">
        <f t="shared" ca="1" si="1"/>
        <v>10</v>
      </c>
    </row>
    <row r="67" spans="1:14" x14ac:dyDescent="0.3">
      <c r="A67" s="5" t="s">
        <v>571</v>
      </c>
      <c r="B67" s="9" t="s">
        <v>572</v>
      </c>
      <c r="C67" s="9" t="s">
        <v>34</v>
      </c>
      <c r="D67" s="9" t="s">
        <v>68</v>
      </c>
      <c r="E67" s="9" t="s">
        <v>16</v>
      </c>
      <c r="F67" s="9" t="s">
        <v>35</v>
      </c>
      <c r="G67" s="9" t="s">
        <v>73</v>
      </c>
      <c r="H67" s="5">
        <v>33</v>
      </c>
      <c r="I67" s="6">
        <v>41973</v>
      </c>
      <c r="J67" s="7">
        <v>91280</v>
      </c>
      <c r="K67" s="9" t="s">
        <v>19</v>
      </c>
      <c r="L67" s="9" t="s">
        <v>45</v>
      </c>
      <c r="M67">
        <f t="shared" ref="M67:M130" ca="1" si="2">DATEDIF(I67,TODAY(),"Y")</f>
        <v>11</v>
      </c>
      <c r="N67">
        <f t="shared" ref="N67:N130" ca="1" si="3">_xlfn.XLOOKUP(M67,$Q$3:$Q$11,$R$3:$R$11,0,-1)</f>
        <v>5.5</v>
      </c>
    </row>
    <row r="68" spans="1:14" x14ac:dyDescent="0.3">
      <c r="A68" s="5" t="s">
        <v>529</v>
      </c>
      <c r="B68" s="9" t="s">
        <v>530</v>
      </c>
      <c r="C68" s="9" t="s">
        <v>23</v>
      </c>
      <c r="D68" s="9" t="s">
        <v>60</v>
      </c>
      <c r="E68" s="9" t="s">
        <v>31</v>
      </c>
      <c r="F68" s="9" t="s">
        <v>35</v>
      </c>
      <c r="G68" s="9" t="s">
        <v>36</v>
      </c>
      <c r="H68" s="5">
        <v>53</v>
      </c>
      <c r="I68" s="6">
        <v>41204</v>
      </c>
      <c r="J68" s="7">
        <v>168510</v>
      </c>
      <c r="K68" s="9" t="s">
        <v>19</v>
      </c>
      <c r="L68" s="9" t="s">
        <v>20</v>
      </c>
      <c r="M68">
        <f t="shared" ca="1" si="2"/>
        <v>13</v>
      </c>
      <c r="N68">
        <f t="shared" ca="1" si="3"/>
        <v>8</v>
      </c>
    </row>
    <row r="69" spans="1:14" x14ac:dyDescent="0.3">
      <c r="A69" s="5" t="s">
        <v>689</v>
      </c>
      <c r="B69" s="9" t="s">
        <v>690</v>
      </c>
      <c r="C69" s="9" t="s">
        <v>23</v>
      </c>
      <c r="D69" s="9" t="s">
        <v>56</v>
      </c>
      <c r="E69" s="9" t="s">
        <v>31</v>
      </c>
      <c r="F69" s="9" t="s">
        <v>35</v>
      </c>
      <c r="G69" s="9" t="s">
        <v>26</v>
      </c>
      <c r="H69" s="5">
        <v>50</v>
      </c>
      <c r="I69" s="6">
        <v>44486</v>
      </c>
      <c r="J69" s="7">
        <v>172180</v>
      </c>
      <c r="K69" s="9" t="s">
        <v>19</v>
      </c>
      <c r="L69" s="9" t="s">
        <v>76</v>
      </c>
      <c r="M69">
        <f t="shared" ca="1" si="2"/>
        <v>4</v>
      </c>
      <c r="N69">
        <f t="shared" ca="1" si="3"/>
        <v>3</v>
      </c>
    </row>
    <row r="70" spans="1:14" x14ac:dyDescent="0.3">
      <c r="A70" s="5" t="s">
        <v>1451</v>
      </c>
      <c r="B70" s="9" t="s">
        <v>1452</v>
      </c>
      <c r="C70" s="9" t="s">
        <v>40</v>
      </c>
      <c r="D70" s="9" t="s">
        <v>68</v>
      </c>
      <c r="E70" s="9" t="s">
        <v>41</v>
      </c>
      <c r="F70" s="9" t="s">
        <v>35</v>
      </c>
      <c r="G70" s="9" t="s">
        <v>36</v>
      </c>
      <c r="H70" s="5">
        <v>28</v>
      </c>
      <c r="I70" s="6">
        <v>43863</v>
      </c>
      <c r="J70" s="7">
        <v>115417</v>
      </c>
      <c r="K70" s="9" t="s">
        <v>1310</v>
      </c>
      <c r="L70" s="9" t="s">
        <v>1316</v>
      </c>
      <c r="M70">
        <f t="shared" ca="1" si="2"/>
        <v>5</v>
      </c>
      <c r="N70">
        <f t="shared" ca="1" si="3"/>
        <v>3</v>
      </c>
    </row>
    <row r="71" spans="1:14" x14ac:dyDescent="0.3">
      <c r="A71" s="5" t="s">
        <v>1114</v>
      </c>
      <c r="B71" s="9" t="s">
        <v>1115</v>
      </c>
      <c r="C71" s="9" t="s">
        <v>40</v>
      </c>
      <c r="D71" s="9" t="s">
        <v>56</v>
      </c>
      <c r="E71" s="9" t="s">
        <v>25</v>
      </c>
      <c r="F71" s="9" t="s">
        <v>17</v>
      </c>
      <c r="G71" s="9" t="s">
        <v>18</v>
      </c>
      <c r="H71" s="5">
        <v>33</v>
      </c>
      <c r="I71" s="6">
        <v>41507</v>
      </c>
      <c r="J71" s="7">
        <v>105390</v>
      </c>
      <c r="K71" s="9" t="s">
        <v>19</v>
      </c>
      <c r="L71" s="9" t="s">
        <v>76</v>
      </c>
      <c r="M71">
        <f t="shared" ca="1" si="2"/>
        <v>12</v>
      </c>
      <c r="N71">
        <f t="shared" ca="1" si="3"/>
        <v>8</v>
      </c>
    </row>
    <row r="72" spans="1:14" x14ac:dyDescent="0.3">
      <c r="A72" s="5" t="s">
        <v>1098</v>
      </c>
      <c r="B72" s="9" t="s">
        <v>1099</v>
      </c>
      <c r="C72" s="9" t="s">
        <v>116</v>
      </c>
      <c r="D72" s="9" t="s">
        <v>60</v>
      </c>
      <c r="E72" s="9" t="s">
        <v>41</v>
      </c>
      <c r="F72" s="9" t="s">
        <v>17</v>
      </c>
      <c r="G72" s="9" t="s">
        <v>26</v>
      </c>
      <c r="H72" s="5">
        <v>41</v>
      </c>
      <c r="I72" s="6">
        <v>38632</v>
      </c>
      <c r="J72" s="7">
        <v>79352</v>
      </c>
      <c r="K72" s="9" t="s">
        <v>19</v>
      </c>
      <c r="L72" s="9" t="s">
        <v>20</v>
      </c>
      <c r="M72">
        <f t="shared" ca="1" si="2"/>
        <v>20</v>
      </c>
      <c r="N72">
        <f t="shared" ca="1" si="3"/>
        <v>9.5</v>
      </c>
    </row>
    <row r="73" spans="1:14" x14ac:dyDescent="0.3">
      <c r="A73" s="5" t="s">
        <v>823</v>
      </c>
      <c r="B73" s="9" t="s">
        <v>824</v>
      </c>
      <c r="C73" s="9" t="s">
        <v>67</v>
      </c>
      <c r="D73" s="9" t="s">
        <v>50</v>
      </c>
      <c r="E73" s="9" t="s">
        <v>25</v>
      </c>
      <c r="F73" s="9" t="s">
        <v>17</v>
      </c>
      <c r="G73" s="9" t="s">
        <v>26</v>
      </c>
      <c r="H73" s="5">
        <v>48</v>
      </c>
      <c r="I73" s="6">
        <v>39197</v>
      </c>
      <c r="J73" s="7">
        <v>217783</v>
      </c>
      <c r="K73" s="9" t="s">
        <v>19</v>
      </c>
      <c r="L73" s="9" t="s">
        <v>20</v>
      </c>
      <c r="M73">
        <f t="shared" ca="1" si="2"/>
        <v>18</v>
      </c>
      <c r="N73">
        <f t="shared" ca="1" si="3"/>
        <v>9.5</v>
      </c>
    </row>
    <row r="74" spans="1:14" x14ac:dyDescent="0.3">
      <c r="A74" s="5" t="s">
        <v>172</v>
      </c>
      <c r="B74" s="9" t="s">
        <v>173</v>
      </c>
      <c r="C74" s="9" t="s">
        <v>116</v>
      </c>
      <c r="D74" s="9" t="s">
        <v>60</v>
      </c>
      <c r="E74" s="9" t="s">
        <v>25</v>
      </c>
      <c r="F74" s="9" t="s">
        <v>35</v>
      </c>
      <c r="G74" s="9" t="s">
        <v>18</v>
      </c>
      <c r="H74" s="5">
        <v>45</v>
      </c>
      <c r="I74" s="6">
        <v>38388</v>
      </c>
      <c r="J74" s="7">
        <v>70505</v>
      </c>
      <c r="K74" s="9" t="s">
        <v>19</v>
      </c>
      <c r="L74" s="9" t="s">
        <v>51</v>
      </c>
      <c r="M74">
        <f t="shared" ca="1" si="2"/>
        <v>20</v>
      </c>
      <c r="N74">
        <f t="shared" ca="1" si="3"/>
        <v>9.5</v>
      </c>
    </row>
    <row r="75" spans="1:14" x14ac:dyDescent="0.3">
      <c r="A75" s="5" t="s">
        <v>525</v>
      </c>
      <c r="B75" s="9" t="s">
        <v>526</v>
      </c>
      <c r="C75" s="9" t="s">
        <v>91</v>
      </c>
      <c r="D75" s="9" t="s">
        <v>24</v>
      </c>
      <c r="E75" s="9" t="s">
        <v>31</v>
      </c>
      <c r="F75" s="9" t="s">
        <v>35</v>
      </c>
      <c r="G75" s="9" t="s">
        <v>26</v>
      </c>
      <c r="H75" s="5">
        <v>30</v>
      </c>
      <c r="I75" s="6">
        <v>43542</v>
      </c>
      <c r="J75" s="7">
        <v>54714</v>
      </c>
      <c r="K75" s="9" t="s">
        <v>19</v>
      </c>
      <c r="L75" s="9" t="s">
        <v>76</v>
      </c>
      <c r="M75">
        <f t="shared" ca="1" si="2"/>
        <v>6</v>
      </c>
      <c r="N75">
        <f t="shared" ca="1" si="3"/>
        <v>4</v>
      </c>
    </row>
    <row r="76" spans="1:14" x14ac:dyDescent="0.3">
      <c r="A76" s="5" t="s">
        <v>567</v>
      </c>
      <c r="B76" s="9" t="s">
        <v>568</v>
      </c>
      <c r="C76" s="9" t="s">
        <v>211</v>
      </c>
      <c r="D76" s="9" t="s">
        <v>15</v>
      </c>
      <c r="E76" s="9" t="s">
        <v>41</v>
      </c>
      <c r="F76" s="9" t="s">
        <v>35</v>
      </c>
      <c r="G76" s="9" t="s">
        <v>26</v>
      </c>
      <c r="H76" s="5">
        <v>48</v>
      </c>
      <c r="I76" s="6">
        <v>37844</v>
      </c>
      <c r="J76" s="7">
        <v>93017</v>
      </c>
      <c r="K76" s="9" t="s">
        <v>19</v>
      </c>
      <c r="L76" s="9" t="s">
        <v>20</v>
      </c>
      <c r="M76">
        <f t="shared" ca="1" si="2"/>
        <v>22</v>
      </c>
      <c r="N76">
        <f t="shared" ca="1" si="3"/>
        <v>9.5</v>
      </c>
    </row>
    <row r="77" spans="1:14" x14ac:dyDescent="0.3">
      <c r="A77" s="5" t="s">
        <v>1724</v>
      </c>
      <c r="B77" s="9" t="s">
        <v>1725</v>
      </c>
      <c r="C77" s="9" t="s">
        <v>44</v>
      </c>
      <c r="D77" s="9" t="s">
        <v>24</v>
      </c>
      <c r="E77" s="9" t="s">
        <v>31</v>
      </c>
      <c r="F77" s="9" t="s">
        <v>35</v>
      </c>
      <c r="G77" s="9" t="s">
        <v>73</v>
      </c>
      <c r="H77" s="5">
        <v>65</v>
      </c>
      <c r="I77" s="6">
        <v>38123</v>
      </c>
      <c r="J77" s="7">
        <v>55499</v>
      </c>
      <c r="K77" s="9" t="s">
        <v>1717</v>
      </c>
      <c r="L77" s="9" t="s">
        <v>1718</v>
      </c>
      <c r="M77">
        <f t="shared" ca="1" si="2"/>
        <v>21</v>
      </c>
      <c r="N77">
        <f t="shared" ca="1" si="3"/>
        <v>9.5</v>
      </c>
    </row>
    <row r="78" spans="1:14" x14ac:dyDescent="0.3">
      <c r="A78" s="5" t="s">
        <v>662</v>
      </c>
      <c r="B78" s="9" t="s">
        <v>663</v>
      </c>
      <c r="C78" s="9" t="s">
        <v>139</v>
      </c>
      <c r="D78" s="9" t="s">
        <v>56</v>
      </c>
      <c r="E78" s="9" t="s">
        <v>31</v>
      </c>
      <c r="F78" s="9" t="s">
        <v>17</v>
      </c>
      <c r="G78" s="9" t="s">
        <v>73</v>
      </c>
      <c r="H78" s="5">
        <v>58</v>
      </c>
      <c r="I78" s="6">
        <v>40463</v>
      </c>
      <c r="J78" s="7">
        <v>43001</v>
      </c>
      <c r="K78" s="9" t="s">
        <v>19</v>
      </c>
      <c r="L78" s="9" t="s">
        <v>51</v>
      </c>
      <c r="M78">
        <f t="shared" ca="1" si="2"/>
        <v>15</v>
      </c>
      <c r="N78">
        <f t="shared" ca="1" si="3"/>
        <v>8</v>
      </c>
    </row>
    <row r="79" spans="1:14" x14ac:dyDescent="0.3">
      <c r="A79" s="5" t="s">
        <v>1050</v>
      </c>
      <c r="B79" s="9" t="s">
        <v>1051</v>
      </c>
      <c r="C79" s="9" t="s">
        <v>91</v>
      </c>
      <c r="D79" s="9" t="s">
        <v>79</v>
      </c>
      <c r="E79" s="9" t="s">
        <v>16</v>
      </c>
      <c r="F79" s="9" t="s">
        <v>35</v>
      </c>
      <c r="G79" s="9" t="s">
        <v>26</v>
      </c>
      <c r="H79" s="5">
        <v>37</v>
      </c>
      <c r="I79" s="6">
        <v>40291</v>
      </c>
      <c r="J79" s="7">
        <v>57531</v>
      </c>
      <c r="K79" s="9" t="s">
        <v>19</v>
      </c>
      <c r="L79" s="9" t="s">
        <v>27</v>
      </c>
      <c r="M79">
        <f t="shared" ca="1" si="2"/>
        <v>15</v>
      </c>
      <c r="N79">
        <f t="shared" ca="1" si="3"/>
        <v>8</v>
      </c>
    </row>
    <row r="80" spans="1:14" x14ac:dyDescent="0.3">
      <c r="A80" s="5" t="s">
        <v>122</v>
      </c>
      <c r="B80" s="9" t="s">
        <v>123</v>
      </c>
      <c r="C80" s="9" t="s">
        <v>91</v>
      </c>
      <c r="D80" s="9" t="s">
        <v>68</v>
      </c>
      <c r="E80" s="9" t="s">
        <v>31</v>
      </c>
      <c r="F80" s="9" t="s">
        <v>17</v>
      </c>
      <c r="G80" s="9" t="s">
        <v>18</v>
      </c>
      <c r="H80" s="5">
        <v>27</v>
      </c>
      <c r="I80" s="6">
        <v>44460</v>
      </c>
      <c r="J80" s="7">
        <v>68728</v>
      </c>
      <c r="K80" s="9" t="s">
        <v>19</v>
      </c>
      <c r="L80" s="9" t="s">
        <v>37</v>
      </c>
      <c r="M80">
        <f t="shared" ca="1" si="2"/>
        <v>4</v>
      </c>
      <c r="N80">
        <f t="shared" ca="1" si="3"/>
        <v>3</v>
      </c>
    </row>
    <row r="81" spans="1:14" x14ac:dyDescent="0.3">
      <c r="A81" s="5" t="s">
        <v>1739</v>
      </c>
      <c r="B81" s="9" t="s">
        <v>1740</v>
      </c>
      <c r="C81" s="9" t="s">
        <v>23</v>
      </c>
      <c r="D81" s="9" t="s">
        <v>60</v>
      </c>
      <c r="E81" s="9" t="s">
        <v>16</v>
      </c>
      <c r="F81" s="9" t="s">
        <v>17</v>
      </c>
      <c r="G81" s="9" t="s">
        <v>73</v>
      </c>
      <c r="H81" s="5">
        <v>30</v>
      </c>
      <c r="I81" s="6">
        <v>42512</v>
      </c>
      <c r="J81" s="7">
        <v>189702</v>
      </c>
      <c r="K81" s="9" t="s">
        <v>1717</v>
      </c>
      <c r="L81" s="9" t="s">
        <v>1718</v>
      </c>
      <c r="M81">
        <f t="shared" ca="1" si="2"/>
        <v>9</v>
      </c>
      <c r="N81">
        <f t="shared" ca="1" si="3"/>
        <v>5.5</v>
      </c>
    </row>
    <row r="82" spans="1:14" x14ac:dyDescent="0.3">
      <c r="A82" s="5" t="s">
        <v>224</v>
      </c>
      <c r="B82" s="9" t="s">
        <v>225</v>
      </c>
      <c r="C82" s="9" t="s">
        <v>91</v>
      </c>
      <c r="D82" s="9" t="s">
        <v>24</v>
      </c>
      <c r="E82" s="9" t="s">
        <v>25</v>
      </c>
      <c r="F82" s="9" t="s">
        <v>17</v>
      </c>
      <c r="G82" s="9" t="s">
        <v>73</v>
      </c>
      <c r="H82" s="5">
        <v>39</v>
      </c>
      <c r="I82" s="6">
        <v>38813</v>
      </c>
      <c r="J82" s="7">
        <v>71531</v>
      </c>
      <c r="K82" s="9" t="s">
        <v>19</v>
      </c>
      <c r="L82" s="9" t="s">
        <v>76</v>
      </c>
      <c r="M82">
        <f t="shared" ca="1" si="2"/>
        <v>19</v>
      </c>
      <c r="N82">
        <f t="shared" ca="1" si="3"/>
        <v>9.5</v>
      </c>
    </row>
    <row r="83" spans="1:14" x14ac:dyDescent="0.3">
      <c r="A83" s="5" t="s">
        <v>494</v>
      </c>
      <c r="B83" s="9" t="s">
        <v>495</v>
      </c>
      <c r="C83" s="9" t="s">
        <v>196</v>
      </c>
      <c r="D83" s="9" t="s">
        <v>60</v>
      </c>
      <c r="E83" s="9" t="s">
        <v>16</v>
      </c>
      <c r="F83" s="9" t="s">
        <v>17</v>
      </c>
      <c r="G83" s="9" t="s">
        <v>73</v>
      </c>
      <c r="H83" s="5">
        <v>47</v>
      </c>
      <c r="I83" s="6">
        <v>42245</v>
      </c>
      <c r="J83" s="7">
        <v>68488</v>
      </c>
      <c r="K83" s="9" t="s">
        <v>19</v>
      </c>
      <c r="L83" s="9" t="s">
        <v>20</v>
      </c>
      <c r="M83">
        <f t="shared" ca="1" si="2"/>
        <v>10</v>
      </c>
      <c r="N83">
        <f t="shared" ca="1" si="3"/>
        <v>5.5</v>
      </c>
    </row>
    <row r="84" spans="1:14" x14ac:dyDescent="0.3">
      <c r="A84" s="5" t="s">
        <v>265</v>
      </c>
      <c r="B84" s="9" t="s">
        <v>266</v>
      </c>
      <c r="C84" s="9" t="s">
        <v>184</v>
      </c>
      <c r="D84" s="9" t="s">
        <v>56</v>
      </c>
      <c r="E84" s="9" t="s">
        <v>16</v>
      </c>
      <c r="F84" s="9" t="s">
        <v>17</v>
      </c>
      <c r="G84" s="9" t="s">
        <v>36</v>
      </c>
      <c r="H84" s="5">
        <v>58</v>
      </c>
      <c r="I84" s="6">
        <v>34567</v>
      </c>
      <c r="J84" s="7">
        <v>93102</v>
      </c>
      <c r="K84" s="9" t="s">
        <v>19</v>
      </c>
      <c r="L84" s="9" t="s">
        <v>20</v>
      </c>
      <c r="M84">
        <f t="shared" ca="1" si="2"/>
        <v>31</v>
      </c>
      <c r="N84">
        <f t="shared" ca="1" si="3"/>
        <v>15</v>
      </c>
    </row>
    <row r="85" spans="1:14" x14ac:dyDescent="0.3">
      <c r="A85" s="5" t="s">
        <v>265</v>
      </c>
      <c r="B85" s="9" t="s">
        <v>1743</v>
      </c>
      <c r="C85" s="9" t="s">
        <v>253</v>
      </c>
      <c r="D85" s="9" t="s">
        <v>15</v>
      </c>
      <c r="E85" s="9" t="s">
        <v>41</v>
      </c>
      <c r="F85" s="9" t="s">
        <v>17</v>
      </c>
      <c r="G85" s="9" t="s">
        <v>73</v>
      </c>
      <c r="H85" s="5">
        <v>48</v>
      </c>
      <c r="I85" s="6">
        <v>43650</v>
      </c>
      <c r="J85" s="7">
        <v>76588</v>
      </c>
      <c r="K85" s="9" t="s">
        <v>1717</v>
      </c>
      <c r="L85" s="9" t="s">
        <v>1721</v>
      </c>
      <c r="M85">
        <f t="shared" ca="1" si="2"/>
        <v>6</v>
      </c>
      <c r="N85">
        <f t="shared" ca="1" si="3"/>
        <v>4</v>
      </c>
    </row>
    <row r="86" spans="1:14" x14ac:dyDescent="0.3">
      <c r="A86" s="5" t="s">
        <v>1461</v>
      </c>
      <c r="B86" s="9" t="s">
        <v>1462</v>
      </c>
      <c r="C86" s="9" t="s">
        <v>23</v>
      </c>
      <c r="D86" s="9" t="s">
        <v>56</v>
      </c>
      <c r="E86" s="9" t="s">
        <v>16</v>
      </c>
      <c r="F86" s="9" t="s">
        <v>35</v>
      </c>
      <c r="G86" s="9" t="s">
        <v>36</v>
      </c>
      <c r="H86" s="5">
        <v>37</v>
      </c>
      <c r="I86" s="6">
        <v>41048</v>
      </c>
      <c r="J86" s="7">
        <v>160280</v>
      </c>
      <c r="K86" s="9" t="s">
        <v>1310</v>
      </c>
      <c r="L86" s="9" t="s">
        <v>1323</v>
      </c>
      <c r="M86">
        <f t="shared" ca="1" si="2"/>
        <v>13</v>
      </c>
      <c r="N86">
        <f t="shared" ca="1" si="3"/>
        <v>8</v>
      </c>
    </row>
    <row r="87" spans="1:14" x14ac:dyDescent="0.3">
      <c r="A87" s="5" t="s">
        <v>149</v>
      </c>
      <c r="B87" s="9" t="s">
        <v>664</v>
      </c>
      <c r="C87" s="9" t="s">
        <v>30</v>
      </c>
      <c r="D87" s="9" t="s">
        <v>15</v>
      </c>
      <c r="E87" s="9" t="s">
        <v>31</v>
      </c>
      <c r="F87" s="9" t="s">
        <v>35</v>
      </c>
      <c r="G87" s="9" t="s">
        <v>73</v>
      </c>
      <c r="H87" s="5">
        <v>60</v>
      </c>
      <c r="I87" s="6">
        <v>36010</v>
      </c>
      <c r="J87" s="7">
        <v>85120</v>
      </c>
      <c r="K87" s="9" t="s">
        <v>19</v>
      </c>
      <c r="L87" s="9" t="s">
        <v>20</v>
      </c>
      <c r="M87">
        <f t="shared" ca="1" si="2"/>
        <v>27</v>
      </c>
      <c r="N87">
        <f t="shared" ca="1" si="3"/>
        <v>10</v>
      </c>
    </row>
    <row r="88" spans="1:14" x14ac:dyDescent="0.3">
      <c r="A88" s="5" t="s">
        <v>149</v>
      </c>
      <c r="B88" s="9" t="s">
        <v>150</v>
      </c>
      <c r="C88" s="9" t="s">
        <v>121</v>
      </c>
      <c r="D88" s="9" t="s">
        <v>56</v>
      </c>
      <c r="E88" s="9" t="s">
        <v>25</v>
      </c>
      <c r="F88" s="9" t="s">
        <v>17</v>
      </c>
      <c r="G88" s="9" t="s">
        <v>26</v>
      </c>
      <c r="H88" s="5">
        <v>41</v>
      </c>
      <c r="I88" s="6">
        <v>40109</v>
      </c>
      <c r="J88" s="7">
        <v>54415</v>
      </c>
      <c r="K88" s="9" t="s">
        <v>19</v>
      </c>
      <c r="L88" s="9" t="s">
        <v>20</v>
      </c>
      <c r="M88">
        <f t="shared" ca="1" si="2"/>
        <v>16</v>
      </c>
      <c r="N88">
        <f t="shared" ca="1" si="3"/>
        <v>8</v>
      </c>
    </row>
    <row r="89" spans="1:14" x14ac:dyDescent="0.3">
      <c r="A89" s="5" t="s">
        <v>937</v>
      </c>
      <c r="B89" s="9" t="s">
        <v>938</v>
      </c>
      <c r="C89" s="9" t="s">
        <v>67</v>
      </c>
      <c r="D89" s="9" t="s">
        <v>24</v>
      </c>
      <c r="E89" s="9" t="s">
        <v>41</v>
      </c>
      <c r="F89" s="9" t="s">
        <v>17</v>
      </c>
      <c r="G89" s="9" t="s">
        <v>36</v>
      </c>
      <c r="H89" s="5">
        <v>54</v>
      </c>
      <c r="I89" s="6">
        <v>39330</v>
      </c>
      <c r="J89" s="7">
        <v>183239</v>
      </c>
      <c r="K89" s="9" t="s">
        <v>19</v>
      </c>
      <c r="L89" s="9" t="s">
        <v>20</v>
      </c>
      <c r="M89">
        <f t="shared" ca="1" si="2"/>
        <v>18</v>
      </c>
      <c r="N89">
        <f t="shared" ca="1" si="3"/>
        <v>9.5</v>
      </c>
    </row>
    <row r="90" spans="1:14" x14ac:dyDescent="0.3">
      <c r="A90" s="5" t="s">
        <v>937</v>
      </c>
      <c r="B90" s="9" t="s">
        <v>1347</v>
      </c>
      <c r="C90" s="9" t="s">
        <v>40</v>
      </c>
      <c r="D90" s="9" t="s">
        <v>68</v>
      </c>
      <c r="E90" s="9" t="s">
        <v>16</v>
      </c>
      <c r="F90" s="9" t="s">
        <v>35</v>
      </c>
      <c r="G90" s="9" t="s">
        <v>36</v>
      </c>
      <c r="H90" s="5">
        <v>27</v>
      </c>
      <c r="I90" s="6">
        <v>43368</v>
      </c>
      <c r="J90" s="7">
        <v>114441</v>
      </c>
      <c r="K90" s="9" t="s">
        <v>1310</v>
      </c>
      <c r="L90" s="9" t="s">
        <v>1311</v>
      </c>
      <c r="M90">
        <f t="shared" ca="1" si="2"/>
        <v>7</v>
      </c>
      <c r="N90">
        <f t="shared" ca="1" si="3"/>
        <v>4</v>
      </c>
    </row>
    <row r="91" spans="1:14" x14ac:dyDescent="0.3">
      <c r="A91" s="5" t="s">
        <v>1351</v>
      </c>
      <c r="B91" s="9" t="s">
        <v>1352</v>
      </c>
      <c r="C91" s="9" t="s">
        <v>30</v>
      </c>
      <c r="D91" s="9" t="s">
        <v>15</v>
      </c>
      <c r="E91" s="9" t="s">
        <v>16</v>
      </c>
      <c r="F91" s="9" t="s">
        <v>35</v>
      </c>
      <c r="G91" s="9" t="s">
        <v>36</v>
      </c>
      <c r="H91" s="5">
        <v>28</v>
      </c>
      <c r="I91" s="6">
        <v>43977</v>
      </c>
      <c r="J91" s="7">
        <v>67925</v>
      </c>
      <c r="K91" s="9" t="s">
        <v>1310</v>
      </c>
      <c r="L91" s="9" t="s">
        <v>1316</v>
      </c>
      <c r="M91">
        <f t="shared" ca="1" si="2"/>
        <v>5</v>
      </c>
      <c r="N91">
        <f t="shared" ca="1" si="3"/>
        <v>3</v>
      </c>
    </row>
    <row r="92" spans="1:14" x14ac:dyDescent="0.3">
      <c r="A92" s="5" t="s">
        <v>872</v>
      </c>
      <c r="B92" s="9" t="s">
        <v>1243</v>
      </c>
      <c r="C92" s="9" t="s">
        <v>67</v>
      </c>
      <c r="D92" s="9" t="s">
        <v>56</v>
      </c>
      <c r="E92" s="9" t="s">
        <v>25</v>
      </c>
      <c r="F92" s="9" t="s">
        <v>35</v>
      </c>
      <c r="G92" s="9" t="s">
        <v>36</v>
      </c>
      <c r="H92" s="5">
        <v>31</v>
      </c>
      <c r="I92" s="6">
        <v>42018</v>
      </c>
      <c r="J92" s="7">
        <v>230025</v>
      </c>
      <c r="K92" s="9" t="s">
        <v>19</v>
      </c>
      <c r="L92" s="9" t="s">
        <v>37</v>
      </c>
      <c r="M92">
        <f t="shared" ca="1" si="2"/>
        <v>10</v>
      </c>
      <c r="N92">
        <f t="shared" ca="1" si="3"/>
        <v>5.5</v>
      </c>
    </row>
    <row r="93" spans="1:14" x14ac:dyDescent="0.3">
      <c r="A93" s="5" t="s">
        <v>872</v>
      </c>
      <c r="B93" s="9" t="s">
        <v>873</v>
      </c>
      <c r="C93" s="9" t="s">
        <v>34</v>
      </c>
      <c r="D93" s="9" t="s">
        <v>79</v>
      </c>
      <c r="E93" s="9" t="s">
        <v>16</v>
      </c>
      <c r="F93" s="9" t="s">
        <v>35</v>
      </c>
      <c r="G93" s="9" t="s">
        <v>26</v>
      </c>
      <c r="H93" s="5">
        <v>30</v>
      </c>
      <c r="I93" s="6">
        <v>43773</v>
      </c>
      <c r="J93" s="7">
        <v>96092</v>
      </c>
      <c r="K93" s="9" t="s">
        <v>19</v>
      </c>
      <c r="L93" s="9" t="s">
        <v>51</v>
      </c>
      <c r="M93">
        <f t="shared" ca="1" si="2"/>
        <v>6</v>
      </c>
      <c r="N93">
        <f t="shared" ca="1" si="3"/>
        <v>4</v>
      </c>
    </row>
    <row r="94" spans="1:14" x14ac:dyDescent="0.3">
      <c r="A94" s="5" t="s">
        <v>1942</v>
      </c>
      <c r="B94" s="9" t="s">
        <v>1943</v>
      </c>
      <c r="C94" s="9" t="s">
        <v>67</v>
      </c>
      <c r="D94" s="9" t="s">
        <v>68</v>
      </c>
      <c r="E94" s="9" t="s">
        <v>41</v>
      </c>
      <c r="F94" s="9" t="s">
        <v>17</v>
      </c>
      <c r="G94" s="9" t="s">
        <v>73</v>
      </c>
      <c r="H94" s="5">
        <v>32</v>
      </c>
      <c r="I94" s="6">
        <v>41675</v>
      </c>
      <c r="J94" s="7">
        <v>203445</v>
      </c>
      <c r="K94" s="9" t="s">
        <v>1717</v>
      </c>
      <c r="L94" s="9" t="s">
        <v>1718</v>
      </c>
      <c r="M94">
        <f t="shared" ca="1" si="2"/>
        <v>11</v>
      </c>
      <c r="N94">
        <f t="shared" ca="1" si="3"/>
        <v>5.5</v>
      </c>
    </row>
    <row r="95" spans="1:14" x14ac:dyDescent="0.3">
      <c r="A95" s="5" t="s">
        <v>1182</v>
      </c>
      <c r="B95" s="9" t="s">
        <v>1183</v>
      </c>
      <c r="C95" s="9" t="s">
        <v>139</v>
      </c>
      <c r="D95" s="9" t="s">
        <v>56</v>
      </c>
      <c r="E95" s="9" t="s">
        <v>16</v>
      </c>
      <c r="F95" s="9" t="s">
        <v>35</v>
      </c>
      <c r="G95" s="9" t="s">
        <v>18</v>
      </c>
      <c r="H95" s="5">
        <v>48</v>
      </c>
      <c r="I95" s="6">
        <v>44095</v>
      </c>
      <c r="J95" s="7">
        <v>54654</v>
      </c>
      <c r="K95" s="9" t="s">
        <v>19</v>
      </c>
      <c r="L95" s="9" t="s">
        <v>37</v>
      </c>
      <c r="M95">
        <f t="shared" ca="1" si="2"/>
        <v>5</v>
      </c>
      <c r="N95">
        <f t="shared" ca="1" si="3"/>
        <v>3</v>
      </c>
    </row>
    <row r="96" spans="1:14" x14ac:dyDescent="0.3">
      <c r="A96" s="5" t="s">
        <v>616</v>
      </c>
      <c r="B96" s="9" t="s">
        <v>617</v>
      </c>
      <c r="C96" s="9" t="s">
        <v>191</v>
      </c>
      <c r="D96" s="9" t="s">
        <v>60</v>
      </c>
      <c r="E96" s="9" t="s">
        <v>16</v>
      </c>
      <c r="F96" s="9" t="s">
        <v>35</v>
      </c>
      <c r="G96" s="9" t="s">
        <v>26</v>
      </c>
      <c r="H96" s="5">
        <v>62</v>
      </c>
      <c r="I96" s="6">
        <v>40820</v>
      </c>
      <c r="J96" s="7">
        <v>63959</v>
      </c>
      <c r="K96" s="9" t="s">
        <v>19</v>
      </c>
      <c r="L96" s="9" t="s">
        <v>20</v>
      </c>
      <c r="M96">
        <f t="shared" ca="1" si="2"/>
        <v>14</v>
      </c>
      <c r="N96">
        <f t="shared" ca="1" si="3"/>
        <v>8</v>
      </c>
    </row>
    <row r="97" spans="1:14" x14ac:dyDescent="0.3">
      <c r="A97" s="5" t="s">
        <v>616</v>
      </c>
      <c r="B97" s="9" t="s">
        <v>1656</v>
      </c>
      <c r="C97" s="9" t="s">
        <v>101</v>
      </c>
      <c r="D97" s="9" t="s">
        <v>15</v>
      </c>
      <c r="E97" s="9" t="s">
        <v>31</v>
      </c>
      <c r="F97" s="9" t="s">
        <v>17</v>
      </c>
      <c r="G97" s="9" t="s">
        <v>36</v>
      </c>
      <c r="H97" s="5">
        <v>45</v>
      </c>
      <c r="I97" s="6">
        <v>37445</v>
      </c>
      <c r="J97" s="7">
        <v>92655</v>
      </c>
      <c r="K97" s="9" t="s">
        <v>1310</v>
      </c>
      <c r="L97" s="9" t="s">
        <v>1330</v>
      </c>
      <c r="M97">
        <f t="shared" ca="1" si="2"/>
        <v>23</v>
      </c>
      <c r="N97">
        <f t="shared" ca="1" si="3"/>
        <v>9.5</v>
      </c>
    </row>
    <row r="98" spans="1:14" x14ac:dyDescent="0.3">
      <c r="A98" s="5" t="s">
        <v>468</v>
      </c>
      <c r="B98" s="9" t="s">
        <v>469</v>
      </c>
      <c r="C98" s="9" t="s">
        <v>136</v>
      </c>
      <c r="D98" s="9" t="s">
        <v>60</v>
      </c>
      <c r="E98" s="9" t="s">
        <v>41</v>
      </c>
      <c r="F98" s="9" t="s">
        <v>17</v>
      </c>
      <c r="G98" s="9" t="s">
        <v>36</v>
      </c>
      <c r="H98" s="5">
        <v>55</v>
      </c>
      <c r="I98" s="6">
        <v>34915</v>
      </c>
      <c r="J98" s="7">
        <v>80701</v>
      </c>
      <c r="K98" s="9" t="s">
        <v>19</v>
      </c>
      <c r="L98" s="9" t="s">
        <v>27</v>
      </c>
      <c r="M98">
        <f t="shared" ca="1" si="2"/>
        <v>30</v>
      </c>
      <c r="N98">
        <f t="shared" ca="1" si="3"/>
        <v>15</v>
      </c>
    </row>
    <row r="99" spans="1:14" x14ac:dyDescent="0.3">
      <c r="A99" s="5" t="s">
        <v>1171</v>
      </c>
      <c r="B99" s="9" t="s">
        <v>1172</v>
      </c>
      <c r="C99" s="9" t="s">
        <v>139</v>
      </c>
      <c r="D99" s="9" t="s">
        <v>56</v>
      </c>
      <c r="E99" s="9" t="s">
        <v>25</v>
      </c>
      <c r="F99" s="9" t="s">
        <v>17</v>
      </c>
      <c r="G99" s="9" t="s">
        <v>36</v>
      </c>
      <c r="H99" s="5">
        <v>31</v>
      </c>
      <c r="I99" s="6">
        <v>43171</v>
      </c>
      <c r="J99" s="7">
        <v>47913</v>
      </c>
      <c r="K99" s="9" t="s">
        <v>19</v>
      </c>
      <c r="L99" s="9" t="s">
        <v>20</v>
      </c>
      <c r="M99">
        <f t="shared" ca="1" si="2"/>
        <v>7</v>
      </c>
      <c r="N99">
        <f t="shared" ca="1" si="3"/>
        <v>4</v>
      </c>
    </row>
    <row r="100" spans="1:14" x14ac:dyDescent="0.3">
      <c r="A100" s="5" t="s">
        <v>1272</v>
      </c>
      <c r="B100" s="9" t="s">
        <v>1273</v>
      </c>
      <c r="C100" s="9" t="s">
        <v>253</v>
      </c>
      <c r="D100" s="9" t="s">
        <v>15</v>
      </c>
      <c r="E100" s="9" t="s">
        <v>16</v>
      </c>
      <c r="F100" s="9" t="s">
        <v>35</v>
      </c>
      <c r="G100" s="9" t="s">
        <v>26</v>
      </c>
      <c r="H100" s="5">
        <v>61</v>
      </c>
      <c r="I100" s="6">
        <v>42437</v>
      </c>
      <c r="J100" s="7">
        <v>96566</v>
      </c>
      <c r="K100" s="9" t="s">
        <v>19</v>
      </c>
      <c r="L100" s="9" t="s">
        <v>76</v>
      </c>
      <c r="M100">
        <f t="shared" ca="1" si="2"/>
        <v>9</v>
      </c>
      <c r="N100">
        <f t="shared" ca="1" si="3"/>
        <v>5.5</v>
      </c>
    </row>
    <row r="101" spans="1:14" x14ac:dyDescent="0.3">
      <c r="A101" s="5" t="s">
        <v>347</v>
      </c>
      <c r="B101" s="9" t="s">
        <v>348</v>
      </c>
      <c r="C101" s="9" t="s">
        <v>34</v>
      </c>
      <c r="D101" s="9" t="s">
        <v>79</v>
      </c>
      <c r="E101" s="9" t="s">
        <v>41</v>
      </c>
      <c r="F101" s="9" t="s">
        <v>17</v>
      </c>
      <c r="G101" s="9" t="s">
        <v>26</v>
      </c>
      <c r="H101" s="5">
        <v>28</v>
      </c>
      <c r="I101" s="6">
        <v>44380</v>
      </c>
      <c r="J101" s="7">
        <v>82739</v>
      </c>
      <c r="K101" s="9" t="s">
        <v>19</v>
      </c>
      <c r="L101" s="9" t="s">
        <v>37</v>
      </c>
      <c r="M101">
        <f t="shared" ca="1" si="2"/>
        <v>4</v>
      </c>
      <c r="N101">
        <f t="shared" ca="1" si="3"/>
        <v>3</v>
      </c>
    </row>
    <row r="102" spans="1:14" x14ac:dyDescent="0.3">
      <c r="A102" s="5" t="s">
        <v>1910</v>
      </c>
      <c r="B102" s="9" t="s">
        <v>1911</v>
      </c>
      <c r="C102" s="9" t="s">
        <v>307</v>
      </c>
      <c r="D102" s="9" t="s">
        <v>15</v>
      </c>
      <c r="E102" s="9" t="s">
        <v>41</v>
      </c>
      <c r="F102" s="9" t="s">
        <v>35</v>
      </c>
      <c r="G102" s="9" t="s">
        <v>73</v>
      </c>
      <c r="H102" s="5">
        <v>39</v>
      </c>
      <c r="I102" s="6">
        <v>42664</v>
      </c>
      <c r="J102" s="7">
        <v>84297</v>
      </c>
      <c r="K102" s="9" t="s">
        <v>1717</v>
      </c>
      <c r="L102" s="9" t="s">
        <v>1718</v>
      </c>
      <c r="M102">
        <f t="shared" ca="1" si="2"/>
        <v>9</v>
      </c>
      <c r="N102">
        <f t="shared" ca="1" si="3"/>
        <v>5.5</v>
      </c>
    </row>
    <row r="103" spans="1:14" x14ac:dyDescent="0.3">
      <c r="A103" s="5" t="s">
        <v>1483</v>
      </c>
      <c r="B103" s="9" t="s">
        <v>1484</v>
      </c>
      <c r="C103" s="9" t="s">
        <v>23</v>
      </c>
      <c r="D103" s="9" t="s">
        <v>50</v>
      </c>
      <c r="E103" s="9" t="s">
        <v>31</v>
      </c>
      <c r="F103" s="9" t="s">
        <v>35</v>
      </c>
      <c r="G103" s="9" t="s">
        <v>36</v>
      </c>
      <c r="H103" s="5">
        <v>55</v>
      </c>
      <c r="I103" s="6">
        <v>40340</v>
      </c>
      <c r="J103" s="7">
        <v>187389</v>
      </c>
      <c r="K103" s="9" t="s">
        <v>1310</v>
      </c>
      <c r="L103" s="9" t="s">
        <v>1330</v>
      </c>
      <c r="M103">
        <f t="shared" ca="1" si="2"/>
        <v>15</v>
      </c>
      <c r="N103">
        <f t="shared" ca="1" si="3"/>
        <v>8</v>
      </c>
    </row>
    <row r="104" spans="1:14" x14ac:dyDescent="0.3">
      <c r="A104" s="5" t="s">
        <v>475</v>
      </c>
      <c r="B104" s="9" t="s">
        <v>476</v>
      </c>
      <c r="C104" s="9" t="s">
        <v>91</v>
      </c>
      <c r="D104" s="9" t="s">
        <v>24</v>
      </c>
      <c r="E104" s="9" t="s">
        <v>16</v>
      </c>
      <c r="F104" s="9" t="s">
        <v>17</v>
      </c>
      <c r="G104" s="9" t="s">
        <v>36</v>
      </c>
      <c r="H104" s="5">
        <v>55</v>
      </c>
      <c r="I104" s="6">
        <v>39418</v>
      </c>
      <c r="J104" s="7">
        <v>64494</v>
      </c>
      <c r="K104" s="9" t="s">
        <v>19</v>
      </c>
      <c r="L104" s="9" t="s">
        <v>76</v>
      </c>
      <c r="M104">
        <f t="shared" ca="1" si="2"/>
        <v>17</v>
      </c>
      <c r="N104">
        <f t="shared" ca="1" si="3"/>
        <v>8</v>
      </c>
    </row>
    <row r="105" spans="1:14" x14ac:dyDescent="0.3">
      <c r="A105" s="5" t="s">
        <v>1730</v>
      </c>
      <c r="B105" s="9" t="s">
        <v>1731</v>
      </c>
      <c r="C105" s="9" t="s">
        <v>34</v>
      </c>
      <c r="D105" s="9" t="s">
        <v>50</v>
      </c>
      <c r="E105" s="9" t="s">
        <v>31</v>
      </c>
      <c r="F105" s="9" t="s">
        <v>17</v>
      </c>
      <c r="G105" s="9" t="s">
        <v>73</v>
      </c>
      <c r="H105" s="5">
        <v>44</v>
      </c>
      <c r="I105" s="6">
        <v>43467</v>
      </c>
      <c r="J105" s="7">
        <v>74691</v>
      </c>
      <c r="K105" s="9" t="s">
        <v>1717</v>
      </c>
      <c r="L105" s="9" t="s">
        <v>1718</v>
      </c>
      <c r="M105">
        <f t="shared" ca="1" si="2"/>
        <v>6</v>
      </c>
      <c r="N105">
        <f t="shared" ca="1" si="3"/>
        <v>4</v>
      </c>
    </row>
    <row r="106" spans="1:14" x14ac:dyDescent="0.3">
      <c r="A106" s="5" t="s">
        <v>1029</v>
      </c>
      <c r="B106" s="9" t="s">
        <v>1030</v>
      </c>
      <c r="C106" s="9" t="s">
        <v>40</v>
      </c>
      <c r="D106" s="9" t="s">
        <v>56</v>
      </c>
      <c r="E106" s="9" t="s">
        <v>16</v>
      </c>
      <c r="F106" s="9" t="s">
        <v>17</v>
      </c>
      <c r="G106" s="9" t="s">
        <v>26</v>
      </c>
      <c r="H106" s="5">
        <v>33</v>
      </c>
      <c r="I106" s="6">
        <v>41071</v>
      </c>
      <c r="J106" s="7">
        <v>118253</v>
      </c>
      <c r="K106" s="9" t="s">
        <v>19</v>
      </c>
      <c r="L106" s="9" t="s">
        <v>51</v>
      </c>
      <c r="M106">
        <f t="shared" ca="1" si="2"/>
        <v>13</v>
      </c>
      <c r="N106">
        <f t="shared" ca="1" si="3"/>
        <v>8</v>
      </c>
    </row>
    <row r="107" spans="1:14" x14ac:dyDescent="0.3">
      <c r="A107" s="5" t="s">
        <v>1678</v>
      </c>
      <c r="B107" s="9" t="s">
        <v>1679</v>
      </c>
      <c r="C107" s="9" t="s">
        <v>34</v>
      </c>
      <c r="D107" s="9" t="s">
        <v>50</v>
      </c>
      <c r="E107" s="9" t="s">
        <v>16</v>
      </c>
      <c r="F107" s="9" t="s">
        <v>35</v>
      </c>
      <c r="G107" s="9" t="s">
        <v>36</v>
      </c>
      <c r="H107" s="5">
        <v>50</v>
      </c>
      <c r="I107" s="6">
        <v>40109</v>
      </c>
      <c r="J107" s="7">
        <v>79447</v>
      </c>
      <c r="K107" s="9" t="s">
        <v>1310</v>
      </c>
      <c r="L107" s="9" t="s">
        <v>1316</v>
      </c>
      <c r="M107">
        <f t="shared" ca="1" si="2"/>
        <v>16</v>
      </c>
      <c r="N107">
        <f t="shared" ca="1" si="3"/>
        <v>8</v>
      </c>
    </row>
    <row r="108" spans="1:14" x14ac:dyDescent="0.3">
      <c r="A108" s="5" t="s">
        <v>543</v>
      </c>
      <c r="B108" s="9" t="s">
        <v>544</v>
      </c>
      <c r="C108" s="9" t="s">
        <v>14</v>
      </c>
      <c r="D108" s="9" t="s">
        <v>50</v>
      </c>
      <c r="E108" s="9" t="s">
        <v>25</v>
      </c>
      <c r="F108" s="9" t="s">
        <v>35</v>
      </c>
      <c r="G108" s="9" t="s">
        <v>73</v>
      </c>
      <c r="H108" s="5">
        <v>40</v>
      </c>
      <c r="I108" s="6">
        <v>43488</v>
      </c>
      <c r="J108" s="7">
        <v>159031</v>
      </c>
      <c r="K108" s="9" t="s">
        <v>19</v>
      </c>
      <c r="L108" s="9" t="s">
        <v>45</v>
      </c>
      <c r="M108">
        <f t="shared" ca="1" si="2"/>
        <v>6</v>
      </c>
      <c r="N108">
        <f t="shared" ca="1" si="3"/>
        <v>4</v>
      </c>
    </row>
    <row r="109" spans="1:14" x14ac:dyDescent="0.3">
      <c r="A109" s="5" t="s">
        <v>1922</v>
      </c>
      <c r="B109" s="9" t="s">
        <v>1923</v>
      </c>
      <c r="C109" s="9" t="s">
        <v>40</v>
      </c>
      <c r="D109" s="9" t="s">
        <v>24</v>
      </c>
      <c r="E109" s="9" t="s">
        <v>25</v>
      </c>
      <c r="F109" s="9" t="s">
        <v>17</v>
      </c>
      <c r="G109" s="9" t="s">
        <v>73</v>
      </c>
      <c r="H109" s="5">
        <v>51</v>
      </c>
      <c r="I109" s="6">
        <v>41439</v>
      </c>
      <c r="J109" s="7">
        <v>108221</v>
      </c>
      <c r="K109" s="9" t="s">
        <v>1717</v>
      </c>
      <c r="L109" s="9" t="s">
        <v>1718</v>
      </c>
      <c r="M109">
        <f t="shared" ca="1" si="2"/>
        <v>12</v>
      </c>
      <c r="N109">
        <f t="shared" ca="1" si="3"/>
        <v>8</v>
      </c>
    </row>
    <row r="110" spans="1:14" x14ac:dyDescent="0.3">
      <c r="A110" s="5" t="s">
        <v>251</v>
      </c>
      <c r="B110" s="9" t="s">
        <v>252</v>
      </c>
      <c r="C110" s="9" t="s">
        <v>253</v>
      </c>
      <c r="D110" s="9" t="s">
        <v>15</v>
      </c>
      <c r="E110" s="9" t="s">
        <v>16</v>
      </c>
      <c r="F110" s="9" t="s">
        <v>17</v>
      </c>
      <c r="G110" s="9" t="s">
        <v>26</v>
      </c>
      <c r="H110" s="5">
        <v>54</v>
      </c>
      <c r="I110" s="6">
        <v>35933</v>
      </c>
      <c r="J110" s="7">
        <v>68268</v>
      </c>
      <c r="K110" s="9" t="s">
        <v>19</v>
      </c>
      <c r="L110" s="9" t="s">
        <v>37</v>
      </c>
      <c r="M110">
        <f t="shared" ca="1" si="2"/>
        <v>27</v>
      </c>
      <c r="N110">
        <f t="shared" ca="1" si="3"/>
        <v>10</v>
      </c>
    </row>
    <row r="111" spans="1:14" x14ac:dyDescent="0.3">
      <c r="A111" s="5" t="s">
        <v>322</v>
      </c>
      <c r="B111" s="9" t="s">
        <v>323</v>
      </c>
      <c r="C111" s="9" t="s">
        <v>324</v>
      </c>
      <c r="D111" s="9" t="s">
        <v>15</v>
      </c>
      <c r="E111" s="9" t="s">
        <v>41</v>
      </c>
      <c r="F111" s="9" t="s">
        <v>35</v>
      </c>
      <c r="G111" s="9" t="s">
        <v>26</v>
      </c>
      <c r="H111" s="5">
        <v>58</v>
      </c>
      <c r="I111" s="6">
        <v>34176</v>
      </c>
      <c r="J111" s="7">
        <v>69260</v>
      </c>
      <c r="K111" s="9" t="s">
        <v>19</v>
      </c>
      <c r="L111" s="9" t="s">
        <v>37</v>
      </c>
      <c r="M111">
        <f t="shared" ca="1" si="2"/>
        <v>32</v>
      </c>
      <c r="N111">
        <f t="shared" ca="1" si="3"/>
        <v>15</v>
      </c>
    </row>
    <row r="112" spans="1:14" x14ac:dyDescent="0.3">
      <c r="A112" s="5" t="s">
        <v>1364</v>
      </c>
      <c r="B112" s="9" t="s">
        <v>1365</v>
      </c>
      <c r="C112" s="9" t="s">
        <v>130</v>
      </c>
      <c r="D112" s="9" t="s">
        <v>60</v>
      </c>
      <c r="E112" s="9" t="s">
        <v>25</v>
      </c>
      <c r="F112" s="9" t="s">
        <v>35</v>
      </c>
      <c r="G112" s="9" t="s">
        <v>36</v>
      </c>
      <c r="H112" s="5">
        <v>27</v>
      </c>
      <c r="I112" s="6">
        <v>43937</v>
      </c>
      <c r="J112" s="7">
        <v>71864</v>
      </c>
      <c r="K112" s="9" t="s">
        <v>1310</v>
      </c>
      <c r="L112" s="9" t="s">
        <v>1330</v>
      </c>
      <c r="M112">
        <f t="shared" ca="1" si="2"/>
        <v>5</v>
      </c>
      <c r="N112">
        <f t="shared" ca="1" si="3"/>
        <v>3</v>
      </c>
    </row>
    <row r="113" spans="1:14" x14ac:dyDescent="0.3">
      <c r="A113" s="5" t="s">
        <v>61</v>
      </c>
      <c r="B113" s="9" t="s">
        <v>62</v>
      </c>
      <c r="C113" s="9" t="s">
        <v>40</v>
      </c>
      <c r="D113" s="9" t="s">
        <v>56</v>
      </c>
      <c r="E113" s="9" t="s">
        <v>31</v>
      </c>
      <c r="F113" s="9" t="s">
        <v>35</v>
      </c>
      <c r="G113" s="9" t="s">
        <v>26</v>
      </c>
      <c r="H113" s="5">
        <v>59</v>
      </c>
      <c r="I113" s="6">
        <v>36233</v>
      </c>
      <c r="J113" s="7">
        <v>105086</v>
      </c>
      <c r="K113" s="9" t="s">
        <v>19</v>
      </c>
      <c r="L113" s="9" t="s">
        <v>51</v>
      </c>
      <c r="M113">
        <f t="shared" ca="1" si="2"/>
        <v>26</v>
      </c>
      <c r="N113">
        <f t="shared" ca="1" si="3"/>
        <v>10</v>
      </c>
    </row>
    <row r="114" spans="1:14" x14ac:dyDescent="0.3">
      <c r="A114" s="5" t="s">
        <v>61</v>
      </c>
      <c r="B114" s="9" t="s">
        <v>1580</v>
      </c>
      <c r="C114" s="9" t="s">
        <v>14</v>
      </c>
      <c r="D114" s="9" t="s">
        <v>79</v>
      </c>
      <c r="E114" s="9" t="s">
        <v>31</v>
      </c>
      <c r="F114" s="9" t="s">
        <v>17</v>
      </c>
      <c r="G114" s="9" t="s">
        <v>36</v>
      </c>
      <c r="H114" s="5">
        <v>46</v>
      </c>
      <c r="I114" s="6">
        <v>38046</v>
      </c>
      <c r="J114" s="7">
        <v>158897</v>
      </c>
      <c r="K114" s="9" t="s">
        <v>1310</v>
      </c>
      <c r="L114" s="9" t="s">
        <v>1311</v>
      </c>
      <c r="M114">
        <f t="shared" ca="1" si="2"/>
        <v>21</v>
      </c>
      <c r="N114">
        <f t="shared" ca="1" si="3"/>
        <v>9.5</v>
      </c>
    </row>
    <row r="115" spans="1:14" x14ac:dyDescent="0.3">
      <c r="A115" s="5" t="s">
        <v>285</v>
      </c>
      <c r="B115" s="9" t="s">
        <v>286</v>
      </c>
      <c r="C115" s="9" t="s">
        <v>40</v>
      </c>
      <c r="D115" s="9" t="s">
        <v>15</v>
      </c>
      <c r="E115" s="9" t="s">
        <v>25</v>
      </c>
      <c r="F115" s="9" t="s">
        <v>35</v>
      </c>
      <c r="G115" s="9" t="s">
        <v>73</v>
      </c>
      <c r="H115" s="5">
        <v>53</v>
      </c>
      <c r="I115" s="6">
        <v>39021</v>
      </c>
      <c r="J115" s="7">
        <v>120128</v>
      </c>
      <c r="K115" s="9" t="s">
        <v>19</v>
      </c>
      <c r="L115" s="9" t="s">
        <v>51</v>
      </c>
      <c r="M115">
        <f t="shared" ca="1" si="2"/>
        <v>19</v>
      </c>
      <c r="N115">
        <f t="shared" ca="1" si="3"/>
        <v>9.5</v>
      </c>
    </row>
    <row r="116" spans="1:14" x14ac:dyDescent="0.3">
      <c r="A116" s="5" t="s">
        <v>1205</v>
      </c>
      <c r="B116" s="9" t="s">
        <v>1206</v>
      </c>
      <c r="C116" s="9" t="s">
        <v>277</v>
      </c>
      <c r="D116" s="9" t="s">
        <v>79</v>
      </c>
      <c r="E116" s="9" t="s">
        <v>41</v>
      </c>
      <c r="F116" s="9" t="s">
        <v>35</v>
      </c>
      <c r="G116" s="9" t="s">
        <v>36</v>
      </c>
      <c r="H116" s="5">
        <v>38</v>
      </c>
      <c r="I116" s="6">
        <v>40875</v>
      </c>
      <c r="J116" s="7">
        <v>74010</v>
      </c>
      <c r="K116" s="9" t="s">
        <v>19</v>
      </c>
      <c r="L116" s="9" t="s">
        <v>27</v>
      </c>
      <c r="M116">
        <f t="shared" ca="1" si="2"/>
        <v>14</v>
      </c>
      <c r="N116">
        <f t="shared" ca="1" si="3"/>
        <v>8</v>
      </c>
    </row>
    <row r="117" spans="1:14" x14ac:dyDescent="0.3">
      <c r="A117" s="5" t="s">
        <v>65</v>
      </c>
      <c r="B117" s="9" t="s">
        <v>66</v>
      </c>
      <c r="C117" s="9" t="s">
        <v>67</v>
      </c>
      <c r="D117" s="9" t="s">
        <v>68</v>
      </c>
      <c r="E117" s="9" t="s">
        <v>16</v>
      </c>
      <c r="F117" s="9" t="s">
        <v>17</v>
      </c>
      <c r="G117" s="9" t="s">
        <v>36</v>
      </c>
      <c r="H117" s="5">
        <v>41</v>
      </c>
      <c r="I117" s="6">
        <v>41346</v>
      </c>
      <c r="J117" s="7">
        <v>249270</v>
      </c>
      <c r="K117" s="9" t="s">
        <v>19</v>
      </c>
      <c r="L117" s="9" t="s">
        <v>20</v>
      </c>
      <c r="M117">
        <f t="shared" ca="1" si="2"/>
        <v>12</v>
      </c>
      <c r="N117">
        <f t="shared" ca="1" si="3"/>
        <v>8</v>
      </c>
    </row>
    <row r="118" spans="1:14" x14ac:dyDescent="0.3">
      <c r="A118" s="5" t="s">
        <v>580</v>
      </c>
      <c r="B118" s="9" t="s">
        <v>581</v>
      </c>
      <c r="C118" s="9" t="s">
        <v>116</v>
      </c>
      <c r="D118" s="9" t="s">
        <v>60</v>
      </c>
      <c r="E118" s="9" t="s">
        <v>16</v>
      </c>
      <c r="F118" s="9" t="s">
        <v>17</v>
      </c>
      <c r="G118" s="9" t="s">
        <v>36</v>
      </c>
      <c r="H118" s="5">
        <v>50</v>
      </c>
      <c r="I118" s="6">
        <v>41404</v>
      </c>
      <c r="J118" s="7">
        <v>79388</v>
      </c>
      <c r="K118" s="9" t="s">
        <v>19</v>
      </c>
      <c r="L118" s="9" t="s">
        <v>51</v>
      </c>
      <c r="M118">
        <f t="shared" ca="1" si="2"/>
        <v>12</v>
      </c>
      <c r="N118">
        <f t="shared" ca="1" si="3"/>
        <v>8</v>
      </c>
    </row>
    <row r="119" spans="1:14" x14ac:dyDescent="0.3">
      <c r="A119" s="5" t="s">
        <v>1572</v>
      </c>
      <c r="B119" s="9" t="s">
        <v>1573</v>
      </c>
      <c r="C119" s="9" t="s">
        <v>91</v>
      </c>
      <c r="D119" s="9" t="s">
        <v>68</v>
      </c>
      <c r="E119" s="9" t="s">
        <v>16</v>
      </c>
      <c r="F119" s="9" t="s">
        <v>35</v>
      </c>
      <c r="G119" s="9" t="s">
        <v>36</v>
      </c>
      <c r="H119" s="5">
        <v>65</v>
      </c>
      <c r="I119" s="6">
        <v>37181</v>
      </c>
      <c r="J119" s="7">
        <v>74631</v>
      </c>
      <c r="K119" s="9" t="s">
        <v>1310</v>
      </c>
      <c r="L119" s="9" t="s">
        <v>1311</v>
      </c>
      <c r="M119">
        <f t="shared" ca="1" si="2"/>
        <v>24</v>
      </c>
      <c r="N119">
        <f t="shared" ca="1" si="3"/>
        <v>9.5</v>
      </c>
    </row>
    <row r="120" spans="1:14" x14ac:dyDescent="0.3">
      <c r="A120" s="5" t="s">
        <v>1572</v>
      </c>
      <c r="B120" s="9" t="s">
        <v>1665</v>
      </c>
      <c r="C120" s="9" t="s">
        <v>253</v>
      </c>
      <c r="D120" s="9" t="s">
        <v>15</v>
      </c>
      <c r="E120" s="9" t="s">
        <v>25</v>
      </c>
      <c r="F120" s="9" t="s">
        <v>17</v>
      </c>
      <c r="G120" s="9" t="s">
        <v>36</v>
      </c>
      <c r="H120" s="5">
        <v>45</v>
      </c>
      <c r="I120" s="6">
        <v>39069</v>
      </c>
      <c r="J120" s="7">
        <v>68337</v>
      </c>
      <c r="K120" s="9" t="s">
        <v>1310</v>
      </c>
      <c r="L120" s="9" t="s">
        <v>1311</v>
      </c>
      <c r="M120">
        <f t="shared" ca="1" si="2"/>
        <v>18</v>
      </c>
      <c r="N120">
        <f t="shared" ca="1" si="3"/>
        <v>9.5</v>
      </c>
    </row>
    <row r="121" spans="1:14" x14ac:dyDescent="0.3">
      <c r="A121" s="5" t="s">
        <v>479</v>
      </c>
      <c r="B121" s="9" t="s">
        <v>480</v>
      </c>
      <c r="C121" s="9" t="s">
        <v>23</v>
      </c>
      <c r="D121" s="9" t="s">
        <v>50</v>
      </c>
      <c r="E121" s="9" t="s">
        <v>31</v>
      </c>
      <c r="F121" s="9" t="s">
        <v>35</v>
      </c>
      <c r="G121" s="9" t="s">
        <v>26</v>
      </c>
      <c r="H121" s="5">
        <v>29</v>
      </c>
      <c r="I121" s="6">
        <v>42785</v>
      </c>
      <c r="J121" s="7">
        <v>181854</v>
      </c>
      <c r="K121" s="9" t="s">
        <v>19</v>
      </c>
      <c r="L121" s="9" t="s">
        <v>20</v>
      </c>
      <c r="M121">
        <f t="shared" ca="1" si="2"/>
        <v>8</v>
      </c>
      <c r="N121">
        <f t="shared" ca="1" si="3"/>
        <v>5.5</v>
      </c>
    </row>
    <row r="122" spans="1:14" x14ac:dyDescent="0.3">
      <c r="A122" s="5" t="s">
        <v>1264</v>
      </c>
      <c r="B122" s="9" t="s">
        <v>1265</v>
      </c>
      <c r="C122" s="9" t="s">
        <v>253</v>
      </c>
      <c r="D122" s="9" t="s">
        <v>15</v>
      </c>
      <c r="E122" s="9" t="s">
        <v>25</v>
      </c>
      <c r="F122" s="9" t="s">
        <v>17</v>
      </c>
      <c r="G122" s="9" t="s">
        <v>73</v>
      </c>
      <c r="H122" s="5">
        <v>36</v>
      </c>
      <c r="I122" s="6">
        <v>42677</v>
      </c>
      <c r="J122" s="7">
        <v>94618</v>
      </c>
      <c r="K122" s="9" t="s">
        <v>19</v>
      </c>
      <c r="L122" s="9" t="s">
        <v>76</v>
      </c>
      <c r="M122">
        <f t="shared" ca="1" si="2"/>
        <v>9</v>
      </c>
      <c r="N122">
        <f t="shared" ca="1" si="3"/>
        <v>5.5</v>
      </c>
    </row>
    <row r="123" spans="1:14" x14ac:dyDescent="0.3">
      <c r="A123" s="5" t="s">
        <v>283</v>
      </c>
      <c r="B123" s="9" t="s">
        <v>284</v>
      </c>
      <c r="C123" s="9" t="s">
        <v>23</v>
      </c>
      <c r="D123" s="9" t="s">
        <v>50</v>
      </c>
      <c r="E123" s="9" t="s">
        <v>31</v>
      </c>
      <c r="F123" s="9" t="s">
        <v>17</v>
      </c>
      <c r="G123" s="9" t="s">
        <v>73</v>
      </c>
      <c r="H123" s="5">
        <v>27</v>
      </c>
      <c r="I123" s="6">
        <v>43276</v>
      </c>
      <c r="J123" s="7">
        <v>174097</v>
      </c>
      <c r="K123" s="9" t="s">
        <v>19</v>
      </c>
      <c r="L123" s="9" t="s">
        <v>37</v>
      </c>
      <c r="M123">
        <f t="shared" ca="1" si="2"/>
        <v>7</v>
      </c>
      <c r="N123">
        <f t="shared" ca="1" si="3"/>
        <v>4</v>
      </c>
    </row>
    <row r="124" spans="1:14" x14ac:dyDescent="0.3">
      <c r="A124" s="5" t="s">
        <v>283</v>
      </c>
      <c r="B124" s="9" t="s">
        <v>1941</v>
      </c>
      <c r="C124" s="9" t="s">
        <v>44</v>
      </c>
      <c r="D124" s="9" t="s">
        <v>79</v>
      </c>
      <c r="E124" s="9" t="s">
        <v>31</v>
      </c>
      <c r="F124" s="9" t="s">
        <v>35</v>
      </c>
      <c r="G124" s="9" t="s">
        <v>73</v>
      </c>
      <c r="H124" s="5">
        <v>26</v>
      </c>
      <c r="I124" s="6">
        <v>44257</v>
      </c>
      <c r="J124" s="7">
        <v>44732</v>
      </c>
      <c r="K124" s="9" t="s">
        <v>1717</v>
      </c>
      <c r="L124" s="9" t="s">
        <v>1721</v>
      </c>
      <c r="M124">
        <f t="shared" ca="1" si="2"/>
        <v>4</v>
      </c>
      <c r="N124">
        <f t="shared" ca="1" si="3"/>
        <v>3</v>
      </c>
    </row>
    <row r="125" spans="1:14" x14ac:dyDescent="0.3">
      <c r="A125" s="5" t="s">
        <v>1959</v>
      </c>
      <c r="B125" s="9" t="s">
        <v>1960</v>
      </c>
      <c r="C125" s="9" t="s">
        <v>91</v>
      </c>
      <c r="D125" s="9" t="s">
        <v>24</v>
      </c>
      <c r="E125" s="9" t="s">
        <v>16</v>
      </c>
      <c r="F125" s="9" t="s">
        <v>17</v>
      </c>
      <c r="G125" s="9" t="s">
        <v>73</v>
      </c>
      <c r="H125" s="5">
        <v>45</v>
      </c>
      <c r="I125" s="6">
        <v>41127</v>
      </c>
      <c r="J125" s="7">
        <v>58586</v>
      </c>
      <c r="K125" s="9" t="s">
        <v>1717</v>
      </c>
      <c r="L125" s="9" t="s">
        <v>1736</v>
      </c>
      <c r="M125">
        <f t="shared" ca="1" si="2"/>
        <v>13</v>
      </c>
      <c r="N125">
        <f t="shared" ca="1" si="3"/>
        <v>8</v>
      </c>
    </row>
    <row r="126" spans="1:14" x14ac:dyDescent="0.3">
      <c r="A126" s="5" t="s">
        <v>106</v>
      </c>
      <c r="B126" s="9" t="s">
        <v>107</v>
      </c>
      <c r="C126" s="9" t="s">
        <v>14</v>
      </c>
      <c r="D126" s="9" t="s">
        <v>68</v>
      </c>
      <c r="E126" s="9" t="s">
        <v>16</v>
      </c>
      <c r="F126" s="9" t="s">
        <v>17</v>
      </c>
      <c r="G126" s="9" t="s">
        <v>26</v>
      </c>
      <c r="H126" s="5">
        <v>29</v>
      </c>
      <c r="I126" s="6">
        <v>43609</v>
      </c>
      <c r="J126" s="7">
        <v>122350</v>
      </c>
      <c r="K126" s="9" t="s">
        <v>19</v>
      </c>
      <c r="L126" s="9" t="s">
        <v>37</v>
      </c>
      <c r="M126">
        <f t="shared" ca="1" si="2"/>
        <v>6</v>
      </c>
      <c r="N126">
        <f t="shared" ca="1" si="3"/>
        <v>4</v>
      </c>
    </row>
    <row r="127" spans="1:14" x14ac:dyDescent="0.3">
      <c r="A127" s="5" t="s">
        <v>54</v>
      </c>
      <c r="B127" s="9" t="s">
        <v>55</v>
      </c>
      <c r="C127" s="9" t="s">
        <v>14</v>
      </c>
      <c r="D127" s="9" t="s">
        <v>56</v>
      </c>
      <c r="E127" s="9" t="s">
        <v>31</v>
      </c>
      <c r="F127" s="9" t="s">
        <v>17</v>
      </c>
      <c r="G127" s="9" t="s">
        <v>36</v>
      </c>
      <c r="H127" s="5">
        <v>36</v>
      </c>
      <c r="I127" s="6">
        <v>39855</v>
      </c>
      <c r="J127" s="7">
        <v>157333</v>
      </c>
      <c r="K127" s="9" t="s">
        <v>19</v>
      </c>
      <c r="L127" s="9" t="s">
        <v>45</v>
      </c>
      <c r="M127">
        <f t="shared" ca="1" si="2"/>
        <v>16</v>
      </c>
      <c r="N127">
        <f t="shared" ca="1" si="3"/>
        <v>8</v>
      </c>
    </row>
    <row r="128" spans="1:14" x14ac:dyDescent="0.3">
      <c r="A128" s="5" t="s">
        <v>1104</v>
      </c>
      <c r="B128" s="9" t="s">
        <v>1105</v>
      </c>
      <c r="C128" s="9" t="s">
        <v>211</v>
      </c>
      <c r="D128" s="9" t="s">
        <v>15</v>
      </c>
      <c r="E128" s="9" t="s">
        <v>31</v>
      </c>
      <c r="F128" s="9" t="s">
        <v>17</v>
      </c>
      <c r="G128" s="9" t="s">
        <v>26</v>
      </c>
      <c r="H128" s="5">
        <v>57</v>
      </c>
      <c r="I128" s="6">
        <v>35113</v>
      </c>
      <c r="J128" s="7">
        <v>75354</v>
      </c>
      <c r="K128" s="9" t="s">
        <v>19</v>
      </c>
      <c r="L128" s="9" t="s">
        <v>51</v>
      </c>
      <c r="M128">
        <f t="shared" ca="1" si="2"/>
        <v>29</v>
      </c>
      <c r="N128">
        <f t="shared" ca="1" si="3"/>
        <v>10</v>
      </c>
    </row>
    <row r="129" spans="1:14" x14ac:dyDescent="0.3">
      <c r="A129" s="5" t="s">
        <v>701</v>
      </c>
      <c r="B129" s="9" t="s">
        <v>702</v>
      </c>
      <c r="C129" s="9" t="s">
        <v>451</v>
      </c>
      <c r="D129" s="9" t="s">
        <v>15</v>
      </c>
      <c r="E129" s="9" t="s">
        <v>25</v>
      </c>
      <c r="F129" s="9" t="s">
        <v>35</v>
      </c>
      <c r="G129" s="9" t="s">
        <v>26</v>
      </c>
      <c r="H129" s="5">
        <v>34</v>
      </c>
      <c r="I129" s="6">
        <v>42514</v>
      </c>
      <c r="J129" s="7">
        <v>94352</v>
      </c>
      <c r="K129" s="9" t="s">
        <v>19</v>
      </c>
      <c r="L129" s="9" t="s">
        <v>45</v>
      </c>
      <c r="M129">
        <f t="shared" ca="1" si="2"/>
        <v>9</v>
      </c>
      <c r="N129">
        <f t="shared" ca="1" si="3"/>
        <v>5.5</v>
      </c>
    </row>
    <row r="130" spans="1:14" x14ac:dyDescent="0.3">
      <c r="A130" s="5" t="s">
        <v>1348</v>
      </c>
      <c r="B130" s="9" t="s">
        <v>1349</v>
      </c>
      <c r="C130" s="9" t="s">
        <v>14</v>
      </c>
      <c r="D130" s="9" t="s">
        <v>24</v>
      </c>
      <c r="E130" s="9" t="s">
        <v>25</v>
      </c>
      <c r="F130" s="9" t="s">
        <v>17</v>
      </c>
      <c r="G130" s="9" t="s">
        <v>36</v>
      </c>
      <c r="H130" s="5">
        <v>33</v>
      </c>
      <c r="I130" s="6">
        <v>43211</v>
      </c>
      <c r="J130" s="7">
        <v>140402</v>
      </c>
      <c r="K130" s="9" t="s">
        <v>1310</v>
      </c>
      <c r="L130" s="9" t="s">
        <v>1323</v>
      </c>
      <c r="M130">
        <f t="shared" ca="1" si="2"/>
        <v>7</v>
      </c>
      <c r="N130">
        <f t="shared" ca="1" si="3"/>
        <v>4</v>
      </c>
    </row>
    <row r="131" spans="1:14" x14ac:dyDescent="0.3">
      <c r="A131" s="5" t="s">
        <v>844</v>
      </c>
      <c r="B131" s="9" t="s">
        <v>845</v>
      </c>
      <c r="C131" s="9" t="s">
        <v>40</v>
      </c>
      <c r="D131" s="9" t="s">
        <v>24</v>
      </c>
      <c r="E131" s="9" t="s">
        <v>25</v>
      </c>
      <c r="F131" s="9" t="s">
        <v>17</v>
      </c>
      <c r="G131" s="9" t="s">
        <v>18</v>
      </c>
      <c r="H131" s="5">
        <v>61</v>
      </c>
      <c r="I131" s="6">
        <v>40293</v>
      </c>
      <c r="J131" s="7">
        <v>110302</v>
      </c>
      <c r="K131" s="9" t="s">
        <v>19</v>
      </c>
      <c r="L131" s="9" t="s">
        <v>45</v>
      </c>
      <c r="M131">
        <f t="shared" ref="M131:M194" ca="1" si="4">DATEDIF(I131,TODAY(),"Y")</f>
        <v>15</v>
      </c>
      <c r="N131">
        <f t="shared" ref="N131:N194" ca="1" si="5">_xlfn.XLOOKUP(M131,$Q$3:$Q$11,$R$3:$R$11,0,-1)</f>
        <v>8</v>
      </c>
    </row>
    <row r="132" spans="1:14" x14ac:dyDescent="0.3">
      <c r="A132" s="5" t="s">
        <v>971</v>
      </c>
      <c r="B132" s="9" t="s">
        <v>972</v>
      </c>
      <c r="C132" s="9" t="s">
        <v>23</v>
      </c>
      <c r="D132" s="9" t="s">
        <v>68</v>
      </c>
      <c r="E132" s="9" t="s">
        <v>25</v>
      </c>
      <c r="F132" s="9" t="s">
        <v>35</v>
      </c>
      <c r="G132" s="9" t="s">
        <v>26</v>
      </c>
      <c r="H132" s="5">
        <v>32</v>
      </c>
      <c r="I132" s="6">
        <v>42702</v>
      </c>
      <c r="J132" s="7">
        <v>177443</v>
      </c>
      <c r="K132" s="9" t="s">
        <v>19</v>
      </c>
      <c r="L132" s="9" t="s">
        <v>20</v>
      </c>
      <c r="M132">
        <f t="shared" ca="1" si="4"/>
        <v>9</v>
      </c>
      <c r="N132">
        <f t="shared" ca="1" si="5"/>
        <v>5.5</v>
      </c>
    </row>
    <row r="133" spans="1:14" x14ac:dyDescent="0.3">
      <c r="A133" s="5" t="s">
        <v>1046</v>
      </c>
      <c r="B133" s="9" t="s">
        <v>841</v>
      </c>
      <c r="C133" s="9" t="s">
        <v>196</v>
      </c>
      <c r="D133" s="9" t="s">
        <v>60</v>
      </c>
      <c r="E133" s="9" t="s">
        <v>31</v>
      </c>
      <c r="F133" s="9" t="s">
        <v>17</v>
      </c>
      <c r="G133" s="9" t="s">
        <v>36</v>
      </c>
      <c r="H133" s="5">
        <v>29</v>
      </c>
      <c r="I133" s="6">
        <v>43778</v>
      </c>
      <c r="J133" s="7">
        <v>75012</v>
      </c>
      <c r="K133" s="9" t="s">
        <v>19</v>
      </c>
      <c r="L133" s="9" t="s">
        <v>27</v>
      </c>
      <c r="M133">
        <f t="shared" ca="1" si="4"/>
        <v>6</v>
      </c>
      <c r="N133">
        <f t="shared" ca="1" si="5"/>
        <v>4</v>
      </c>
    </row>
    <row r="134" spans="1:14" x14ac:dyDescent="0.3">
      <c r="A134" s="5" t="s">
        <v>655</v>
      </c>
      <c r="B134" s="9" t="s">
        <v>656</v>
      </c>
      <c r="C134" s="9" t="s">
        <v>23</v>
      </c>
      <c r="D134" s="9" t="s">
        <v>50</v>
      </c>
      <c r="E134" s="9" t="s">
        <v>25</v>
      </c>
      <c r="F134" s="9" t="s">
        <v>35</v>
      </c>
      <c r="G134" s="9" t="s">
        <v>26</v>
      </c>
      <c r="H134" s="5">
        <v>41</v>
      </c>
      <c r="I134" s="6">
        <v>41429</v>
      </c>
      <c r="J134" s="7">
        <v>167526</v>
      </c>
      <c r="K134" s="9" t="s">
        <v>19</v>
      </c>
      <c r="L134" s="9" t="s">
        <v>45</v>
      </c>
      <c r="M134">
        <f t="shared" ca="1" si="4"/>
        <v>12</v>
      </c>
      <c r="N134">
        <f t="shared" ca="1" si="5"/>
        <v>8</v>
      </c>
    </row>
    <row r="135" spans="1:14" x14ac:dyDescent="0.3">
      <c r="A135" s="5" t="s">
        <v>337</v>
      </c>
      <c r="B135" s="9" t="s">
        <v>338</v>
      </c>
      <c r="C135" s="9" t="s">
        <v>34</v>
      </c>
      <c r="D135" s="9" t="s">
        <v>24</v>
      </c>
      <c r="E135" s="9" t="s">
        <v>41</v>
      </c>
      <c r="F135" s="9" t="s">
        <v>17</v>
      </c>
      <c r="G135" s="9" t="s">
        <v>26</v>
      </c>
      <c r="H135" s="5">
        <v>28</v>
      </c>
      <c r="I135" s="6">
        <v>44078</v>
      </c>
      <c r="J135" s="7">
        <v>95045</v>
      </c>
      <c r="K135" s="9" t="s">
        <v>19</v>
      </c>
      <c r="L135" s="9" t="s">
        <v>27</v>
      </c>
      <c r="M135">
        <f t="shared" ca="1" si="4"/>
        <v>5</v>
      </c>
      <c r="N135">
        <f t="shared" ca="1" si="5"/>
        <v>3</v>
      </c>
    </row>
    <row r="136" spans="1:14" x14ac:dyDescent="0.3">
      <c r="A136" s="5" t="s">
        <v>1491</v>
      </c>
      <c r="B136" s="9" t="s">
        <v>1492</v>
      </c>
      <c r="C136" s="9" t="s">
        <v>253</v>
      </c>
      <c r="D136" s="9" t="s">
        <v>15</v>
      </c>
      <c r="E136" s="9" t="s">
        <v>16</v>
      </c>
      <c r="F136" s="9" t="s">
        <v>35</v>
      </c>
      <c r="G136" s="9" t="s">
        <v>36</v>
      </c>
      <c r="H136" s="5">
        <v>37</v>
      </c>
      <c r="I136" s="6">
        <v>42922</v>
      </c>
      <c r="J136" s="7">
        <v>96331</v>
      </c>
      <c r="K136" s="9" t="s">
        <v>1310</v>
      </c>
      <c r="L136" s="9" t="s">
        <v>1316</v>
      </c>
      <c r="M136">
        <f t="shared" ca="1" si="4"/>
        <v>8</v>
      </c>
      <c r="N136">
        <f t="shared" ca="1" si="5"/>
        <v>5.5</v>
      </c>
    </row>
    <row r="137" spans="1:14" x14ac:dyDescent="0.3">
      <c r="A137" s="5" t="s">
        <v>1912</v>
      </c>
      <c r="B137" s="9" t="s">
        <v>1913</v>
      </c>
      <c r="C137" s="9" t="s">
        <v>34</v>
      </c>
      <c r="D137" s="9" t="s">
        <v>79</v>
      </c>
      <c r="E137" s="9" t="s">
        <v>25</v>
      </c>
      <c r="F137" s="9" t="s">
        <v>17</v>
      </c>
      <c r="G137" s="9" t="s">
        <v>73</v>
      </c>
      <c r="H137" s="5">
        <v>53</v>
      </c>
      <c r="I137" s="6">
        <v>42744</v>
      </c>
      <c r="J137" s="7">
        <v>75769</v>
      </c>
      <c r="K137" s="9" t="s">
        <v>1717</v>
      </c>
      <c r="L137" s="9" t="s">
        <v>1718</v>
      </c>
      <c r="M137">
        <f t="shared" ca="1" si="4"/>
        <v>8</v>
      </c>
      <c r="N137">
        <f t="shared" ca="1" si="5"/>
        <v>5.5</v>
      </c>
    </row>
    <row r="138" spans="1:14" x14ac:dyDescent="0.3">
      <c r="A138" s="5" t="s">
        <v>800</v>
      </c>
      <c r="B138" s="9" t="s">
        <v>801</v>
      </c>
      <c r="C138" s="9" t="s">
        <v>40</v>
      </c>
      <c r="D138" s="9" t="s">
        <v>68</v>
      </c>
      <c r="E138" s="9" t="s">
        <v>41</v>
      </c>
      <c r="F138" s="9" t="s">
        <v>35</v>
      </c>
      <c r="G138" s="9" t="s">
        <v>26</v>
      </c>
      <c r="H138" s="5">
        <v>51</v>
      </c>
      <c r="I138" s="6">
        <v>35456</v>
      </c>
      <c r="J138" s="7">
        <v>104431</v>
      </c>
      <c r="K138" s="9" t="s">
        <v>19</v>
      </c>
      <c r="L138" s="9" t="s">
        <v>37</v>
      </c>
      <c r="M138">
        <f t="shared" ca="1" si="4"/>
        <v>28</v>
      </c>
      <c r="N138">
        <f t="shared" ca="1" si="5"/>
        <v>10</v>
      </c>
    </row>
    <row r="139" spans="1:14" x14ac:dyDescent="0.3">
      <c r="A139" s="5" t="s">
        <v>1044</v>
      </c>
      <c r="B139" s="9" t="s">
        <v>1045</v>
      </c>
      <c r="C139" s="9" t="s">
        <v>211</v>
      </c>
      <c r="D139" s="9" t="s">
        <v>15</v>
      </c>
      <c r="E139" s="9" t="s">
        <v>41</v>
      </c>
      <c r="F139" s="9" t="s">
        <v>35</v>
      </c>
      <c r="G139" s="9" t="s">
        <v>36</v>
      </c>
      <c r="H139" s="5">
        <v>54</v>
      </c>
      <c r="I139" s="6">
        <v>35961</v>
      </c>
      <c r="J139" s="7">
        <v>95239</v>
      </c>
      <c r="K139" s="9" t="s">
        <v>19</v>
      </c>
      <c r="L139" s="9" t="s">
        <v>37</v>
      </c>
      <c r="M139">
        <f t="shared" ca="1" si="4"/>
        <v>27</v>
      </c>
      <c r="N139">
        <f t="shared" ca="1" si="5"/>
        <v>10</v>
      </c>
    </row>
    <row r="140" spans="1:14" x14ac:dyDescent="0.3">
      <c r="A140" s="5" t="s">
        <v>1236</v>
      </c>
      <c r="B140" s="9" t="s">
        <v>1237</v>
      </c>
      <c r="C140" s="9" t="s">
        <v>157</v>
      </c>
      <c r="D140" s="9" t="s">
        <v>15</v>
      </c>
      <c r="E140" s="9" t="s">
        <v>31</v>
      </c>
      <c r="F140" s="9" t="s">
        <v>17</v>
      </c>
      <c r="G140" s="9" t="s">
        <v>18</v>
      </c>
      <c r="H140" s="5">
        <v>37</v>
      </c>
      <c r="I140" s="6">
        <v>42487</v>
      </c>
      <c r="J140" s="7">
        <v>91400</v>
      </c>
      <c r="K140" s="9" t="s">
        <v>19</v>
      </c>
      <c r="L140" s="9" t="s">
        <v>27</v>
      </c>
      <c r="M140">
        <f t="shared" ca="1" si="4"/>
        <v>9</v>
      </c>
      <c r="N140">
        <f t="shared" ca="1" si="5"/>
        <v>5.5</v>
      </c>
    </row>
    <row r="141" spans="1:14" x14ac:dyDescent="0.3">
      <c r="A141" s="5" t="s">
        <v>1312</v>
      </c>
      <c r="B141" s="9" t="s">
        <v>1313</v>
      </c>
      <c r="C141" s="9" t="s">
        <v>181</v>
      </c>
      <c r="D141" s="9" t="s">
        <v>79</v>
      </c>
      <c r="E141" s="9" t="s">
        <v>41</v>
      </c>
      <c r="F141" s="9" t="s">
        <v>35</v>
      </c>
      <c r="G141" s="9" t="s">
        <v>36</v>
      </c>
      <c r="H141" s="5">
        <v>57</v>
      </c>
      <c r="I141" s="6">
        <v>42759</v>
      </c>
      <c r="J141" s="7">
        <v>50994</v>
      </c>
      <c r="K141" s="9" t="s">
        <v>1310</v>
      </c>
      <c r="L141" s="9" t="s">
        <v>1311</v>
      </c>
      <c r="M141">
        <f t="shared" ca="1" si="4"/>
        <v>8</v>
      </c>
      <c r="N141">
        <f t="shared" ca="1" si="5"/>
        <v>5.5</v>
      </c>
    </row>
    <row r="142" spans="1:14" x14ac:dyDescent="0.3">
      <c r="A142" s="5" t="s">
        <v>1240</v>
      </c>
      <c r="B142" s="9" t="s">
        <v>869</v>
      </c>
      <c r="C142" s="9" t="s">
        <v>44</v>
      </c>
      <c r="D142" s="9" t="s">
        <v>50</v>
      </c>
      <c r="E142" s="9" t="s">
        <v>25</v>
      </c>
      <c r="F142" s="9" t="s">
        <v>35</v>
      </c>
      <c r="G142" s="9" t="s">
        <v>26</v>
      </c>
      <c r="H142" s="5">
        <v>49</v>
      </c>
      <c r="I142" s="6">
        <v>40894</v>
      </c>
      <c r="J142" s="7">
        <v>56878</v>
      </c>
      <c r="K142" s="9" t="s">
        <v>19</v>
      </c>
      <c r="L142" s="9" t="s">
        <v>20</v>
      </c>
      <c r="M142">
        <f t="shared" ca="1" si="4"/>
        <v>13</v>
      </c>
      <c r="N142">
        <f t="shared" ca="1" si="5"/>
        <v>8</v>
      </c>
    </row>
    <row r="143" spans="1:14" x14ac:dyDescent="0.3">
      <c r="A143" s="5" t="s">
        <v>1175</v>
      </c>
      <c r="B143" s="9" t="s">
        <v>1179</v>
      </c>
      <c r="C143" s="9" t="s">
        <v>121</v>
      </c>
      <c r="D143" s="9" t="s">
        <v>56</v>
      </c>
      <c r="E143" s="9" t="s">
        <v>41</v>
      </c>
      <c r="F143" s="9" t="s">
        <v>17</v>
      </c>
      <c r="G143" s="9" t="s">
        <v>36</v>
      </c>
      <c r="H143" s="5">
        <v>44</v>
      </c>
      <c r="I143" s="6">
        <v>38771</v>
      </c>
      <c r="J143" s="7">
        <v>63705</v>
      </c>
      <c r="K143" s="9" t="s">
        <v>19</v>
      </c>
      <c r="L143" s="9" t="s">
        <v>45</v>
      </c>
      <c r="M143">
        <f t="shared" ca="1" si="4"/>
        <v>19</v>
      </c>
      <c r="N143">
        <f t="shared" ca="1" si="5"/>
        <v>9.5</v>
      </c>
    </row>
    <row r="144" spans="1:14" x14ac:dyDescent="0.3">
      <c r="A144" s="5" t="s">
        <v>1175</v>
      </c>
      <c r="B144" s="9" t="s">
        <v>1176</v>
      </c>
      <c r="C144" s="9" t="s">
        <v>14</v>
      </c>
      <c r="D144" s="9" t="s">
        <v>56</v>
      </c>
      <c r="E144" s="9" t="s">
        <v>25</v>
      </c>
      <c r="F144" s="9" t="s">
        <v>35</v>
      </c>
      <c r="G144" s="9" t="s">
        <v>36</v>
      </c>
      <c r="H144" s="5">
        <v>27</v>
      </c>
      <c r="I144" s="6">
        <v>44302</v>
      </c>
      <c r="J144" s="7">
        <v>133400</v>
      </c>
      <c r="K144" s="9" t="s">
        <v>19</v>
      </c>
      <c r="L144" s="9" t="s">
        <v>37</v>
      </c>
      <c r="M144">
        <f t="shared" ca="1" si="4"/>
        <v>4</v>
      </c>
      <c r="N144">
        <f t="shared" ca="1" si="5"/>
        <v>3</v>
      </c>
    </row>
    <row r="145" spans="1:14" x14ac:dyDescent="0.3">
      <c r="A145" s="5" t="s">
        <v>1508</v>
      </c>
      <c r="B145" s="9" t="s">
        <v>1509</v>
      </c>
      <c r="C145" s="9" t="s">
        <v>139</v>
      </c>
      <c r="D145" s="9" t="s">
        <v>56</v>
      </c>
      <c r="E145" s="9" t="s">
        <v>16</v>
      </c>
      <c r="F145" s="9" t="s">
        <v>17</v>
      </c>
      <c r="G145" s="9" t="s">
        <v>36</v>
      </c>
      <c r="H145" s="5">
        <v>45</v>
      </c>
      <c r="I145" s="6">
        <v>36755</v>
      </c>
      <c r="J145" s="7">
        <v>55563</v>
      </c>
      <c r="K145" s="9" t="s">
        <v>1310</v>
      </c>
      <c r="L145" s="9" t="s">
        <v>1330</v>
      </c>
      <c r="M145">
        <f t="shared" ca="1" si="4"/>
        <v>25</v>
      </c>
      <c r="N145">
        <f t="shared" ca="1" si="5"/>
        <v>10</v>
      </c>
    </row>
    <row r="146" spans="1:14" x14ac:dyDescent="0.3">
      <c r="A146" s="5" t="s">
        <v>162</v>
      </c>
      <c r="B146" s="9" t="s">
        <v>163</v>
      </c>
      <c r="C146" s="9" t="s">
        <v>59</v>
      </c>
      <c r="D146" s="9" t="s">
        <v>60</v>
      </c>
      <c r="E146" s="9" t="s">
        <v>41</v>
      </c>
      <c r="F146" s="9" t="s">
        <v>35</v>
      </c>
      <c r="G146" s="9" t="s">
        <v>36</v>
      </c>
      <c r="H146" s="5">
        <v>55</v>
      </c>
      <c r="I146" s="6">
        <v>36041</v>
      </c>
      <c r="J146" s="7">
        <v>86299</v>
      </c>
      <c r="K146" s="9" t="s">
        <v>19</v>
      </c>
      <c r="L146" s="9" t="s">
        <v>20</v>
      </c>
      <c r="M146">
        <f t="shared" ca="1" si="4"/>
        <v>27</v>
      </c>
      <c r="N146">
        <f t="shared" ca="1" si="5"/>
        <v>10</v>
      </c>
    </row>
    <row r="147" spans="1:14" x14ac:dyDescent="0.3">
      <c r="A147" s="5" t="s">
        <v>1054</v>
      </c>
      <c r="B147" s="9" t="s">
        <v>1055</v>
      </c>
      <c r="C147" s="9" t="s">
        <v>130</v>
      </c>
      <c r="D147" s="9" t="s">
        <v>60</v>
      </c>
      <c r="E147" s="9" t="s">
        <v>31</v>
      </c>
      <c r="F147" s="9" t="s">
        <v>17</v>
      </c>
      <c r="G147" s="9" t="s">
        <v>36</v>
      </c>
      <c r="H147" s="5">
        <v>42</v>
      </c>
      <c r="I147" s="6">
        <v>41026</v>
      </c>
      <c r="J147" s="7">
        <v>72903</v>
      </c>
      <c r="K147" s="9" t="s">
        <v>19</v>
      </c>
      <c r="L147" s="9" t="s">
        <v>37</v>
      </c>
      <c r="M147">
        <f t="shared" ca="1" si="4"/>
        <v>13</v>
      </c>
      <c r="N147">
        <f t="shared" ca="1" si="5"/>
        <v>8</v>
      </c>
    </row>
    <row r="148" spans="1:14" x14ac:dyDescent="0.3">
      <c r="A148" s="5" t="s">
        <v>80</v>
      </c>
      <c r="B148" s="9" t="s">
        <v>1398</v>
      </c>
      <c r="C148" s="9" t="s">
        <v>234</v>
      </c>
      <c r="D148" s="9" t="s">
        <v>15</v>
      </c>
      <c r="E148" s="9" t="s">
        <v>25</v>
      </c>
      <c r="F148" s="9" t="s">
        <v>35</v>
      </c>
      <c r="G148" s="9" t="s">
        <v>36</v>
      </c>
      <c r="H148" s="5">
        <v>47</v>
      </c>
      <c r="I148" s="6">
        <v>36229</v>
      </c>
      <c r="J148" s="7">
        <v>49404</v>
      </c>
      <c r="K148" s="9" t="s">
        <v>1310</v>
      </c>
      <c r="L148" s="9" t="s">
        <v>1323</v>
      </c>
      <c r="M148">
        <f t="shared" ca="1" si="4"/>
        <v>26</v>
      </c>
      <c r="N148">
        <f t="shared" ca="1" si="5"/>
        <v>10</v>
      </c>
    </row>
    <row r="149" spans="1:14" x14ac:dyDescent="0.3">
      <c r="A149" s="5" t="s">
        <v>80</v>
      </c>
      <c r="B149" s="9" t="s">
        <v>81</v>
      </c>
      <c r="C149" s="9" t="s">
        <v>44</v>
      </c>
      <c r="D149" s="9" t="s">
        <v>79</v>
      </c>
      <c r="E149" s="9" t="s">
        <v>25</v>
      </c>
      <c r="F149" s="9" t="s">
        <v>35</v>
      </c>
      <c r="G149" s="9" t="s">
        <v>26</v>
      </c>
      <c r="H149" s="5">
        <v>37</v>
      </c>
      <c r="I149" s="6">
        <v>43713</v>
      </c>
      <c r="J149" s="7">
        <v>49998</v>
      </c>
      <c r="K149" s="9" t="s">
        <v>19</v>
      </c>
      <c r="L149" s="9" t="s">
        <v>20</v>
      </c>
      <c r="M149">
        <f t="shared" ca="1" si="4"/>
        <v>6</v>
      </c>
      <c r="N149">
        <f t="shared" ca="1" si="5"/>
        <v>4</v>
      </c>
    </row>
    <row r="150" spans="1:14" x14ac:dyDescent="0.3">
      <c r="A150" s="5" t="s">
        <v>464</v>
      </c>
      <c r="B150" s="9" t="s">
        <v>1762</v>
      </c>
      <c r="C150" s="9" t="s">
        <v>184</v>
      </c>
      <c r="D150" s="9" t="s">
        <v>56</v>
      </c>
      <c r="E150" s="9" t="s">
        <v>31</v>
      </c>
      <c r="F150" s="9" t="s">
        <v>17</v>
      </c>
      <c r="G150" s="9" t="s">
        <v>73</v>
      </c>
      <c r="H150" s="5">
        <v>45</v>
      </c>
      <c r="I150" s="6">
        <v>39437</v>
      </c>
      <c r="J150" s="7">
        <v>93840</v>
      </c>
      <c r="K150" s="9" t="s">
        <v>1717</v>
      </c>
      <c r="L150" s="9" t="s">
        <v>1718</v>
      </c>
      <c r="M150">
        <f t="shared" ca="1" si="4"/>
        <v>17</v>
      </c>
      <c r="N150">
        <f t="shared" ca="1" si="5"/>
        <v>8</v>
      </c>
    </row>
    <row r="151" spans="1:14" x14ac:dyDescent="0.3">
      <c r="A151" s="5" t="s">
        <v>464</v>
      </c>
      <c r="B151" s="9" t="s">
        <v>465</v>
      </c>
      <c r="C151" s="9" t="s">
        <v>67</v>
      </c>
      <c r="D151" s="9" t="s">
        <v>15</v>
      </c>
      <c r="E151" s="9" t="s">
        <v>16</v>
      </c>
      <c r="F151" s="9" t="s">
        <v>35</v>
      </c>
      <c r="G151" s="9" t="s">
        <v>36</v>
      </c>
      <c r="H151" s="5">
        <v>31</v>
      </c>
      <c r="I151" s="6">
        <v>42197</v>
      </c>
      <c r="J151" s="7">
        <v>215388</v>
      </c>
      <c r="K151" s="9" t="s">
        <v>19</v>
      </c>
      <c r="L151" s="9" t="s">
        <v>45</v>
      </c>
      <c r="M151">
        <f t="shared" ca="1" si="4"/>
        <v>10</v>
      </c>
      <c r="N151">
        <f t="shared" ca="1" si="5"/>
        <v>5.5</v>
      </c>
    </row>
    <row r="152" spans="1:14" x14ac:dyDescent="0.3">
      <c r="A152" s="5" t="s">
        <v>1031</v>
      </c>
      <c r="B152" s="9" t="s">
        <v>1032</v>
      </c>
      <c r="C152" s="9" t="s">
        <v>40</v>
      </c>
      <c r="D152" s="9" t="s">
        <v>56</v>
      </c>
      <c r="E152" s="9" t="s">
        <v>41</v>
      </c>
      <c r="F152" s="9" t="s">
        <v>35</v>
      </c>
      <c r="G152" s="9" t="s">
        <v>36</v>
      </c>
      <c r="H152" s="5">
        <v>41</v>
      </c>
      <c r="I152" s="6">
        <v>43502</v>
      </c>
      <c r="J152" s="7">
        <v>126950</v>
      </c>
      <c r="K152" s="9" t="s">
        <v>19</v>
      </c>
      <c r="L152" s="9" t="s">
        <v>27</v>
      </c>
      <c r="M152">
        <f t="shared" ca="1" si="4"/>
        <v>6</v>
      </c>
      <c r="N152">
        <f t="shared" ca="1" si="5"/>
        <v>4</v>
      </c>
    </row>
    <row r="153" spans="1:14" x14ac:dyDescent="0.3">
      <c r="A153" s="5" t="s">
        <v>1281</v>
      </c>
      <c r="B153" s="9" t="s">
        <v>1282</v>
      </c>
      <c r="C153" s="9" t="s">
        <v>40</v>
      </c>
      <c r="D153" s="9" t="s">
        <v>50</v>
      </c>
      <c r="E153" s="9" t="s">
        <v>31</v>
      </c>
      <c r="F153" s="9" t="s">
        <v>17</v>
      </c>
      <c r="G153" s="9" t="s">
        <v>73</v>
      </c>
      <c r="H153" s="5">
        <v>44</v>
      </c>
      <c r="I153" s="6">
        <v>38642</v>
      </c>
      <c r="J153" s="7">
        <v>105223</v>
      </c>
      <c r="K153" s="9" t="s">
        <v>19</v>
      </c>
      <c r="L153" s="9" t="s">
        <v>37</v>
      </c>
      <c r="M153">
        <f t="shared" ca="1" si="4"/>
        <v>20</v>
      </c>
      <c r="N153">
        <f t="shared" ca="1" si="5"/>
        <v>9.5</v>
      </c>
    </row>
    <row r="154" spans="1:14" x14ac:dyDescent="0.3">
      <c r="A154" s="5" t="s">
        <v>207</v>
      </c>
      <c r="B154" s="9" t="s">
        <v>208</v>
      </c>
      <c r="C154" s="9" t="s">
        <v>23</v>
      </c>
      <c r="D154" s="9" t="s">
        <v>24</v>
      </c>
      <c r="E154" s="9" t="s">
        <v>16</v>
      </c>
      <c r="F154" s="9" t="s">
        <v>35</v>
      </c>
      <c r="G154" s="9" t="s">
        <v>36</v>
      </c>
      <c r="H154" s="5">
        <v>42</v>
      </c>
      <c r="I154" s="6">
        <v>37636</v>
      </c>
      <c r="J154" s="7">
        <v>166599</v>
      </c>
      <c r="K154" s="9" t="s">
        <v>19</v>
      </c>
      <c r="L154" s="9" t="s">
        <v>20</v>
      </c>
      <c r="M154">
        <f t="shared" ca="1" si="4"/>
        <v>22</v>
      </c>
      <c r="N154">
        <f t="shared" ca="1" si="5"/>
        <v>9.5</v>
      </c>
    </row>
    <row r="155" spans="1:14" x14ac:dyDescent="0.3">
      <c r="A155" s="5" t="s">
        <v>207</v>
      </c>
      <c r="B155" s="9" t="s">
        <v>422</v>
      </c>
      <c r="C155" s="9" t="s">
        <v>234</v>
      </c>
      <c r="D155" s="9" t="s">
        <v>15</v>
      </c>
      <c r="E155" s="9" t="s">
        <v>31</v>
      </c>
      <c r="F155" s="9" t="s">
        <v>17</v>
      </c>
      <c r="G155" s="9" t="s">
        <v>36</v>
      </c>
      <c r="H155" s="5">
        <v>34</v>
      </c>
      <c r="I155" s="6">
        <v>42512</v>
      </c>
      <c r="J155" s="7">
        <v>44614</v>
      </c>
      <c r="K155" s="9" t="s">
        <v>19</v>
      </c>
      <c r="L155" s="9" t="s">
        <v>45</v>
      </c>
      <c r="M155">
        <f t="shared" ca="1" si="4"/>
        <v>9</v>
      </c>
      <c r="N155">
        <f t="shared" ca="1" si="5"/>
        <v>5.5</v>
      </c>
    </row>
    <row r="156" spans="1:14" x14ac:dyDescent="0.3">
      <c r="A156" s="5" t="s">
        <v>312</v>
      </c>
      <c r="B156" s="9" t="s">
        <v>313</v>
      </c>
      <c r="C156" s="9" t="s">
        <v>211</v>
      </c>
      <c r="D156" s="9" t="s">
        <v>15</v>
      </c>
      <c r="E156" s="9" t="s">
        <v>31</v>
      </c>
      <c r="F156" s="9" t="s">
        <v>35</v>
      </c>
      <c r="G156" s="9" t="s">
        <v>73</v>
      </c>
      <c r="H156" s="5">
        <v>29</v>
      </c>
      <c r="I156" s="6">
        <v>42866</v>
      </c>
      <c r="J156" s="7">
        <v>87536</v>
      </c>
      <c r="K156" s="9" t="s">
        <v>19</v>
      </c>
      <c r="L156" s="9" t="s">
        <v>20</v>
      </c>
      <c r="M156">
        <f t="shared" ca="1" si="4"/>
        <v>8</v>
      </c>
      <c r="N156">
        <f t="shared" ca="1" si="5"/>
        <v>5.5</v>
      </c>
    </row>
    <row r="157" spans="1:14" x14ac:dyDescent="0.3">
      <c r="A157" s="5" t="s">
        <v>1728</v>
      </c>
      <c r="B157" s="9" t="s">
        <v>1729</v>
      </c>
      <c r="C157" s="9" t="s">
        <v>14</v>
      </c>
      <c r="D157" s="9" t="s">
        <v>15</v>
      </c>
      <c r="E157" s="9" t="s">
        <v>41</v>
      </c>
      <c r="F157" s="9" t="s">
        <v>17</v>
      </c>
      <c r="G157" s="9" t="s">
        <v>73</v>
      </c>
      <c r="H157" s="5">
        <v>55</v>
      </c>
      <c r="I157" s="6">
        <v>38945</v>
      </c>
      <c r="J157" s="7">
        <v>159044</v>
      </c>
      <c r="K157" s="9" t="s">
        <v>1717</v>
      </c>
      <c r="L157" s="9" t="s">
        <v>1718</v>
      </c>
      <c r="M157">
        <f t="shared" ca="1" si="4"/>
        <v>19</v>
      </c>
      <c r="N157">
        <f t="shared" ca="1" si="5"/>
        <v>9.5</v>
      </c>
    </row>
    <row r="158" spans="1:14" x14ac:dyDescent="0.3">
      <c r="A158" s="5" t="s">
        <v>1896</v>
      </c>
      <c r="B158" s="9" t="s">
        <v>1897</v>
      </c>
      <c r="C158" s="9" t="s">
        <v>184</v>
      </c>
      <c r="D158" s="9" t="s">
        <v>56</v>
      </c>
      <c r="E158" s="9" t="s">
        <v>25</v>
      </c>
      <c r="F158" s="9" t="s">
        <v>17</v>
      </c>
      <c r="G158" s="9" t="s">
        <v>73</v>
      </c>
      <c r="H158" s="5">
        <v>45</v>
      </c>
      <c r="I158" s="6">
        <v>43581</v>
      </c>
      <c r="J158" s="7">
        <v>74891</v>
      </c>
      <c r="K158" s="9" t="s">
        <v>1717</v>
      </c>
      <c r="L158" s="9" t="s">
        <v>1721</v>
      </c>
      <c r="M158">
        <f t="shared" ca="1" si="4"/>
        <v>6</v>
      </c>
      <c r="N158">
        <f t="shared" ca="1" si="5"/>
        <v>4</v>
      </c>
    </row>
    <row r="159" spans="1:14" x14ac:dyDescent="0.3">
      <c r="A159" s="5" t="s">
        <v>454</v>
      </c>
      <c r="B159" s="9" t="s">
        <v>455</v>
      </c>
      <c r="C159" s="9" t="s">
        <v>14</v>
      </c>
      <c r="D159" s="9" t="s">
        <v>50</v>
      </c>
      <c r="E159" s="9" t="s">
        <v>31</v>
      </c>
      <c r="F159" s="9" t="s">
        <v>35</v>
      </c>
      <c r="G159" s="9" t="s">
        <v>36</v>
      </c>
      <c r="H159" s="5">
        <v>45</v>
      </c>
      <c r="I159" s="6">
        <v>39063</v>
      </c>
      <c r="J159" s="7">
        <v>149537</v>
      </c>
      <c r="K159" s="9" t="s">
        <v>19</v>
      </c>
      <c r="L159" s="9" t="s">
        <v>20</v>
      </c>
      <c r="M159">
        <f t="shared" ca="1" si="4"/>
        <v>18</v>
      </c>
      <c r="N159">
        <f t="shared" ca="1" si="5"/>
        <v>9.5</v>
      </c>
    </row>
    <row r="160" spans="1:14" x14ac:dyDescent="0.3">
      <c r="A160" s="5" t="s">
        <v>725</v>
      </c>
      <c r="B160" s="9" t="s">
        <v>726</v>
      </c>
      <c r="C160" s="9" t="s">
        <v>142</v>
      </c>
      <c r="D160" s="9" t="s">
        <v>60</v>
      </c>
      <c r="E160" s="9" t="s">
        <v>41</v>
      </c>
      <c r="F160" s="9" t="s">
        <v>35</v>
      </c>
      <c r="G160" s="9" t="s">
        <v>73</v>
      </c>
      <c r="H160" s="5">
        <v>45</v>
      </c>
      <c r="I160" s="6">
        <v>43217</v>
      </c>
      <c r="J160" s="7">
        <v>115490</v>
      </c>
      <c r="K160" s="9" t="s">
        <v>19</v>
      </c>
      <c r="L160" s="9" t="s">
        <v>27</v>
      </c>
      <c r="M160">
        <f t="shared" ca="1" si="4"/>
        <v>7</v>
      </c>
      <c r="N160">
        <f t="shared" ca="1" si="5"/>
        <v>4</v>
      </c>
    </row>
    <row r="161" spans="1:14" x14ac:dyDescent="0.3">
      <c r="A161" s="5" t="s">
        <v>715</v>
      </c>
      <c r="B161" s="9" t="s">
        <v>716</v>
      </c>
      <c r="C161" s="9" t="s">
        <v>14</v>
      </c>
      <c r="D161" s="9" t="s">
        <v>24</v>
      </c>
      <c r="E161" s="9" t="s">
        <v>41</v>
      </c>
      <c r="F161" s="9" t="s">
        <v>17</v>
      </c>
      <c r="G161" s="9" t="s">
        <v>36</v>
      </c>
      <c r="H161" s="5">
        <v>43</v>
      </c>
      <c r="I161" s="6">
        <v>39005</v>
      </c>
      <c r="J161" s="7">
        <v>153492</v>
      </c>
      <c r="K161" s="9" t="s">
        <v>19</v>
      </c>
      <c r="L161" s="9" t="s">
        <v>27</v>
      </c>
      <c r="M161">
        <f t="shared" ca="1" si="4"/>
        <v>19</v>
      </c>
      <c r="N161">
        <f t="shared" ca="1" si="5"/>
        <v>9.5</v>
      </c>
    </row>
    <row r="162" spans="1:14" x14ac:dyDescent="0.3">
      <c r="A162" s="5" t="s">
        <v>316</v>
      </c>
      <c r="B162" s="9" t="s">
        <v>317</v>
      </c>
      <c r="C162" s="9" t="s">
        <v>67</v>
      </c>
      <c r="D162" s="9" t="s">
        <v>60</v>
      </c>
      <c r="E162" s="9" t="s">
        <v>31</v>
      </c>
      <c r="F162" s="9" t="s">
        <v>35</v>
      </c>
      <c r="G162" s="9" t="s">
        <v>36</v>
      </c>
      <c r="H162" s="5">
        <v>35</v>
      </c>
      <c r="I162" s="6">
        <v>40826</v>
      </c>
      <c r="J162" s="7">
        <v>245482</v>
      </c>
      <c r="K162" s="9" t="s">
        <v>19</v>
      </c>
      <c r="L162" s="9" t="s">
        <v>20</v>
      </c>
      <c r="M162">
        <f t="shared" ca="1" si="4"/>
        <v>14</v>
      </c>
      <c r="N162">
        <f t="shared" ca="1" si="5"/>
        <v>8</v>
      </c>
    </row>
    <row r="163" spans="1:14" x14ac:dyDescent="0.3">
      <c r="A163" s="5" t="s">
        <v>1337</v>
      </c>
      <c r="B163" s="9" t="s">
        <v>1338</v>
      </c>
      <c r="C163" s="9" t="s">
        <v>14</v>
      </c>
      <c r="D163" s="9" t="s">
        <v>68</v>
      </c>
      <c r="E163" s="9" t="s">
        <v>16</v>
      </c>
      <c r="F163" s="9" t="s">
        <v>35</v>
      </c>
      <c r="G163" s="9" t="s">
        <v>36</v>
      </c>
      <c r="H163" s="5">
        <v>45</v>
      </c>
      <c r="I163" s="6">
        <v>44266</v>
      </c>
      <c r="J163" s="7">
        <v>135062</v>
      </c>
      <c r="K163" s="9" t="s">
        <v>1310</v>
      </c>
      <c r="L163" s="9" t="s">
        <v>1330</v>
      </c>
      <c r="M163">
        <f t="shared" ca="1" si="4"/>
        <v>4</v>
      </c>
      <c r="N163">
        <f t="shared" ca="1" si="5"/>
        <v>3</v>
      </c>
    </row>
    <row r="164" spans="1:14" x14ac:dyDescent="0.3">
      <c r="A164" s="5" t="s">
        <v>1122</v>
      </c>
      <c r="B164" s="9" t="s">
        <v>1209</v>
      </c>
      <c r="C164" s="9" t="s">
        <v>40</v>
      </c>
      <c r="D164" s="9" t="s">
        <v>79</v>
      </c>
      <c r="E164" s="9" t="s">
        <v>25</v>
      </c>
      <c r="F164" s="9" t="s">
        <v>17</v>
      </c>
      <c r="G164" s="9" t="s">
        <v>36</v>
      </c>
      <c r="H164" s="5">
        <v>64</v>
      </c>
      <c r="I164" s="6">
        <v>37762</v>
      </c>
      <c r="J164" s="7">
        <v>106444</v>
      </c>
      <c r="K164" s="9" t="s">
        <v>19</v>
      </c>
      <c r="L164" s="9" t="s">
        <v>37</v>
      </c>
      <c r="M164">
        <f t="shared" ca="1" si="4"/>
        <v>22</v>
      </c>
      <c r="N164">
        <f t="shared" ca="1" si="5"/>
        <v>9.5</v>
      </c>
    </row>
    <row r="165" spans="1:14" x14ac:dyDescent="0.3">
      <c r="A165" s="5" t="s">
        <v>1122</v>
      </c>
      <c r="B165" s="9" t="s">
        <v>1123</v>
      </c>
      <c r="C165" s="9" t="s">
        <v>34</v>
      </c>
      <c r="D165" s="9" t="s">
        <v>50</v>
      </c>
      <c r="E165" s="9" t="s">
        <v>25</v>
      </c>
      <c r="F165" s="9" t="s">
        <v>35</v>
      </c>
      <c r="G165" s="9" t="s">
        <v>73</v>
      </c>
      <c r="H165" s="5">
        <v>62</v>
      </c>
      <c r="I165" s="6">
        <v>40591</v>
      </c>
      <c r="J165" s="7">
        <v>94422</v>
      </c>
      <c r="K165" s="9" t="s">
        <v>19</v>
      </c>
      <c r="L165" s="9" t="s">
        <v>37</v>
      </c>
      <c r="M165">
        <f t="shared" ca="1" si="4"/>
        <v>14</v>
      </c>
      <c r="N165">
        <f t="shared" ca="1" si="5"/>
        <v>8</v>
      </c>
    </row>
    <row r="166" spans="1:14" x14ac:dyDescent="0.3">
      <c r="A166" s="5" t="s">
        <v>1122</v>
      </c>
      <c r="B166" s="9" t="s">
        <v>1904</v>
      </c>
      <c r="C166" s="9" t="s">
        <v>139</v>
      </c>
      <c r="D166" s="9" t="s">
        <v>56</v>
      </c>
      <c r="E166" s="9" t="s">
        <v>31</v>
      </c>
      <c r="F166" s="9" t="s">
        <v>17</v>
      </c>
      <c r="G166" s="9" t="s">
        <v>73</v>
      </c>
      <c r="H166" s="5">
        <v>45</v>
      </c>
      <c r="I166" s="6">
        <v>38639</v>
      </c>
      <c r="J166" s="7">
        <v>51404</v>
      </c>
      <c r="K166" s="9" t="s">
        <v>1717</v>
      </c>
      <c r="L166" s="9" t="s">
        <v>1718</v>
      </c>
      <c r="M166">
        <f t="shared" ca="1" si="4"/>
        <v>20</v>
      </c>
      <c r="N166">
        <f t="shared" ca="1" si="5"/>
        <v>9.5</v>
      </c>
    </row>
    <row r="167" spans="1:14" x14ac:dyDescent="0.3">
      <c r="A167" s="5" t="s">
        <v>1770</v>
      </c>
      <c r="B167" s="9" t="s">
        <v>1771</v>
      </c>
      <c r="C167" s="9" t="s">
        <v>181</v>
      </c>
      <c r="D167" s="9" t="s">
        <v>79</v>
      </c>
      <c r="E167" s="9" t="s">
        <v>25</v>
      </c>
      <c r="F167" s="9" t="s">
        <v>17</v>
      </c>
      <c r="G167" s="9" t="s">
        <v>73</v>
      </c>
      <c r="H167" s="5">
        <v>45</v>
      </c>
      <c r="I167" s="6">
        <v>41769</v>
      </c>
      <c r="J167" s="7">
        <v>65047</v>
      </c>
      <c r="K167" s="9" t="s">
        <v>1717</v>
      </c>
      <c r="L167" s="9" t="s">
        <v>1736</v>
      </c>
      <c r="M167">
        <f t="shared" ca="1" si="4"/>
        <v>11</v>
      </c>
      <c r="N167">
        <f t="shared" ca="1" si="5"/>
        <v>5.5</v>
      </c>
    </row>
    <row r="168" spans="1:14" x14ac:dyDescent="0.3">
      <c r="A168" s="5" t="s">
        <v>375</v>
      </c>
      <c r="B168" s="9" t="s">
        <v>376</v>
      </c>
      <c r="C168" s="9" t="s">
        <v>40</v>
      </c>
      <c r="D168" s="9" t="s">
        <v>79</v>
      </c>
      <c r="E168" s="9" t="s">
        <v>25</v>
      </c>
      <c r="F168" s="9" t="s">
        <v>35</v>
      </c>
      <c r="G168" s="9" t="s">
        <v>26</v>
      </c>
      <c r="H168" s="5">
        <v>43</v>
      </c>
      <c r="I168" s="6">
        <v>38748</v>
      </c>
      <c r="J168" s="7">
        <v>117518</v>
      </c>
      <c r="K168" s="9" t="s">
        <v>19</v>
      </c>
      <c r="L168" s="9" t="s">
        <v>20</v>
      </c>
      <c r="M168">
        <f t="shared" ca="1" si="4"/>
        <v>19</v>
      </c>
      <c r="N168">
        <f t="shared" ca="1" si="5"/>
        <v>9.5</v>
      </c>
    </row>
    <row r="169" spans="1:14" x14ac:dyDescent="0.3">
      <c r="A169" s="5" t="s">
        <v>643</v>
      </c>
      <c r="B169" s="9" t="s">
        <v>644</v>
      </c>
      <c r="C169" s="9" t="s">
        <v>101</v>
      </c>
      <c r="D169" s="9" t="s">
        <v>15</v>
      </c>
      <c r="E169" s="9" t="s">
        <v>25</v>
      </c>
      <c r="F169" s="9" t="s">
        <v>17</v>
      </c>
      <c r="G169" s="9" t="s">
        <v>26</v>
      </c>
      <c r="H169" s="5">
        <v>59</v>
      </c>
      <c r="I169" s="6">
        <v>40272</v>
      </c>
      <c r="J169" s="7">
        <v>76027</v>
      </c>
      <c r="K169" s="9" t="s">
        <v>19</v>
      </c>
      <c r="L169" s="9" t="s">
        <v>20</v>
      </c>
      <c r="M169">
        <f t="shared" ca="1" si="4"/>
        <v>15</v>
      </c>
      <c r="N169">
        <f t="shared" ca="1" si="5"/>
        <v>8</v>
      </c>
    </row>
    <row r="170" spans="1:14" x14ac:dyDescent="0.3">
      <c r="A170" s="5" t="s">
        <v>1035</v>
      </c>
      <c r="B170" s="9" t="s">
        <v>1036</v>
      </c>
      <c r="C170" s="9" t="s">
        <v>181</v>
      </c>
      <c r="D170" s="9" t="s">
        <v>79</v>
      </c>
      <c r="E170" s="9" t="s">
        <v>31</v>
      </c>
      <c r="F170" s="9" t="s">
        <v>17</v>
      </c>
      <c r="G170" s="9" t="s">
        <v>36</v>
      </c>
      <c r="H170" s="5">
        <v>37</v>
      </c>
      <c r="I170" s="6">
        <v>42318</v>
      </c>
      <c r="J170" s="7">
        <v>64204</v>
      </c>
      <c r="K170" s="9" t="s">
        <v>19</v>
      </c>
      <c r="L170" s="9" t="s">
        <v>76</v>
      </c>
      <c r="M170">
        <f t="shared" ca="1" si="4"/>
        <v>10</v>
      </c>
      <c r="N170">
        <f t="shared" ca="1" si="5"/>
        <v>5.5</v>
      </c>
    </row>
    <row r="171" spans="1:14" x14ac:dyDescent="0.3">
      <c r="A171" s="5" t="s">
        <v>1405</v>
      </c>
      <c r="B171" s="9" t="s">
        <v>1406</v>
      </c>
      <c r="C171" s="9" t="s">
        <v>67</v>
      </c>
      <c r="D171" s="9" t="s">
        <v>79</v>
      </c>
      <c r="E171" s="9" t="s">
        <v>31</v>
      </c>
      <c r="F171" s="9" t="s">
        <v>17</v>
      </c>
      <c r="G171" s="9" t="s">
        <v>36</v>
      </c>
      <c r="H171" s="5">
        <v>36</v>
      </c>
      <c r="I171" s="6">
        <v>41692</v>
      </c>
      <c r="J171" s="7">
        <v>218530</v>
      </c>
      <c r="K171" s="9" t="s">
        <v>1310</v>
      </c>
      <c r="L171" s="9" t="s">
        <v>1316</v>
      </c>
      <c r="M171">
        <f t="shared" ca="1" si="4"/>
        <v>11</v>
      </c>
      <c r="N171">
        <f t="shared" ca="1" si="5"/>
        <v>5.5</v>
      </c>
    </row>
    <row r="172" spans="1:14" x14ac:dyDescent="0.3">
      <c r="A172" s="5" t="s">
        <v>1254</v>
      </c>
      <c r="B172" s="9" t="s">
        <v>1255</v>
      </c>
      <c r="C172" s="9" t="s">
        <v>23</v>
      </c>
      <c r="D172" s="9" t="s">
        <v>56</v>
      </c>
      <c r="E172" s="9" t="s">
        <v>31</v>
      </c>
      <c r="F172" s="9" t="s">
        <v>17</v>
      </c>
      <c r="G172" s="9" t="s">
        <v>26</v>
      </c>
      <c r="H172" s="5">
        <v>54</v>
      </c>
      <c r="I172" s="6">
        <v>34603</v>
      </c>
      <c r="J172" s="7">
        <v>162978</v>
      </c>
      <c r="K172" s="9" t="s">
        <v>19</v>
      </c>
      <c r="L172" s="9" t="s">
        <v>45</v>
      </c>
      <c r="M172">
        <f t="shared" ca="1" si="4"/>
        <v>31</v>
      </c>
      <c r="N172">
        <f t="shared" ca="1" si="5"/>
        <v>15</v>
      </c>
    </row>
    <row r="173" spans="1:14" x14ac:dyDescent="0.3">
      <c r="A173" s="5" t="s">
        <v>1254</v>
      </c>
      <c r="B173" s="9" t="s">
        <v>1519</v>
      </c>
      <c r="C173" s="9" t="s">
        <v>181</v>
      </c>
      <c r="D173" s="9" t="s">
        <v>79</v>
      </c>
      <c r="E173" s="9" t="s">
        <v>31</v>
      </c>
      <c r="F173" s="9" t="s">
        <v>35</v>
      </c>
      <c r="G173" s="9" t="s">
        <v>36</v>
      </c>
      <c r="H173" s="5">
        <v>35</v>
      </c>
      <c r="I173" s="6">
        <v>41516</v>
      </c>
      <c r="J173" s="7">
        <v>59646</v>
      </c>
      <c r="K173" s="9" t="s">
        <v>1310</v>
      </c>
      <c r="L173" s="9" t="s">
        <v>1316</v>
      </c>
      <c r="M173">
        <f t="shared" ca="1" si="4"/>
        <v>12</v>
      </c>
      <c r="N173">
        <f t="shared" ca="1" si="5"/>
        <v>8</v>
      </c>
    </row>
    <row r="174" spans="1:14" x14ac:dyDescent="0.3">
      <c r="A174" s="5" t="s">
        <v>1401</v>
      </c>
      <c r="B174" s="9" t="s">
        <v>1402</v>
      </c>
      <c r="C174" s="9" t="s">
        <v>142</v>
      </c>
      <c r="D174" s="9" t="s">
        <v>60</v>
      </c>
      <c r="E174" s="9" t="s">
        <v>41</v>
      </c>
      <c r="F174" s="9" t="s">
        <v>35</v>
      </c>
      <c r="G174" s="9" t="s">
        <v>36</v>
      </c>
      <c r="H174" s="5">
        <v>57</v>
      </c>
      <c r="I174" s="6">
        <v>36275</v>
      </c>
      <c r="J174" s="7">
        <v>95061</v>
      </c>
      <c r="K174" s="9" t="s">
        <v>1310</v>
      </c>
      <c r="L174" s="9" t="s">
        <v>1316</v>
      </c>
      <c r="M174">
        <f t="shared" ca="1" si="4"/>
        <v>26</v>
      </c>
      <c r="N174">
        <f t="shared" ca="1" si="5"/>
        <v>10</v>
      </c>
    </row>
    <row r="175" spans="1:14" x14ac:dyDescent="0.3">
      <c r="A175" s="5" t="s">
        <v>1530</v>
      </c>
      <c r="B175" s="9" t="s">
        <v>1531</v>
      </c>
      <c r="C175" s="9" t="s">
        <v>307</v>
      </c>
      <c r="D175" s="9" t="s">
        <v>15</v>
      </c>
      <c r="E175" s="9" t="s">
        <v>41</v>
      </c>
      <c r="F175" s="9" t="s">
        <v>17</v>
      </c>
      <c r="G175" s="9" t="s">
        <v>36</v>
      </c>
      <c r="H175" s="5">
        <v>60</v>
      </c>
      <c r="I175" s="6">
        <v>38027</v>
      </c>
      <c r="J175" s="7">
        <v>90258</v>
      </c>
      <c r="K175" s="9" t="s">
        <v>1310</v>
      </c>
      <c r="L175" s="9" t="s">
        <v>1311</v>
      </c>
      <c r="M175">
        <f t="shared" ca="1" si="4"/>
        <v>21</v>
      </c>
      <c r="N175">
        <f t="shared" ca="1" si="5"/>
        <v>9.5</v>
      </c>
    </row>
    <row r="176" spans="1:14" x14ac:dyDescent="0.3">
      <c r="A176" s="5" t="s">
        <v>1703</v>
      </c>
      <c r="B176" s="9" t="s">
        <v>1704</v>
      </c>
      <c r="C176" s="9" t="s">
        <v>40</v>
      </c>
      <c r="D176" s="9" t="s">
        <v>50</v>
      </c>
      <c r="E176" s="9" t="s">
        <v>25</v>
      </c>
      <c r="F176" s="9" t="s">
        <v>17</v>
      </c>
      <c r="G176" s="9" t="s">
        <v>36</v>
      </c>
      <c r="H176" s="5">
        <v>25</v>
      </c>
      <c r="I176" s="6">
        <v>44545</v>
      </c>
      <c r="J176" s="7">
        <v>114893</v>
      </c>
      <c r="K176" s="9" t="s">
        <v>1310</v>
      </c>
      <c r="L176" s="9" t="s">
        <v>1330</v>
      </c>
      <c r="M176">
        <f t="shared" ca="1" si="4"/>
        <v>3</v>
      </c>
      <c r="N176">
        <f t="shared" ca="1" si="5"/>
        <v>3</v>
      </c>
    </row>
    <row r="177" spans="1:14" x14ac:dyDescent="0.3">
      <c r="A177" s="5" t="s">
        <v>1817</v>
      </c>
      <c r="B177" s="9" t="s">
        <v>1818</v>
      </c>
      <c r="C177" s="9" t="s">
        <v>91</v>
      </c>
      <c r="D177" s="9" t="s">
        <v>79</v>
      </c>
      <c r="E177" s="9" t="s">
        <v>31</v>
      </c>
      <c r="F177" s="9" t="s">
        <v>17</v>
      </c>
      <c r="G177" s="9" t="s">
        <v>73</v>
      </c>
      <c r="H177" s="5">
        <v>56</v>
      </c>
      <c r="I177" s="6">
        <v>33770</v>
      </c>
      <c r="J177" s="7">
        <v>59591</v>
      </c>
      <c r="K177" s="9" t="s">
        <v>1717</v>
      </c>
      <c r="L177" s="9" t="s">
        <v>1736</v>
      </c>
      <c r="M177">
        <f t="shared" ca="1" si="4"/>
        <v>33</v>
      </c>
      <c r="N177">
        <f t="shared" ca="1" si="5"/>
        <v>15</v>
      </c>
    </row>
    <row r="178" spans="1:14" x14ac:dyDescent="0.3">
      <c r="A178" s="5" t="s">
        <v>1734</v>
      </c>
      <c r="B178" s="9" t="s">
        <v>1735</v>
      </c>
      <c r="C178" s="9" t="s">
        <v>67</v>
      </c>
      <c r="D178" s="9" t="s">
        <v>68</v>
      </c>
      <c r="E178" s="9" t="s">
        <v>16</v>
      </c>
      <c r="F178" s="9" t="s">
        <v>35</v>
      </c>
      <c r="G178" s="9" t="s">
        <v>73</v>
      </c>
      <c r="H178" s="5">
        <v>57</v>
      </c>
      <c r="I178" s="6">
        <v>37828</v>
      </c>
      <c r="J178" s="7">
        <v>206624</v>
      </c>
      <c r="K178" s="9" t="s">
        <v>1717</v>
      </c>
      <c r="L178" s="9" t="s">
        <v>1736</v>
      </c>
      <c r="M178">
        <f t="shared" ca="1" si="4"/>
        <v>22</v>
      </c>
      <c r="N178">
        <f t="shared" ca="1" si="5"/>
        <v>9.5</v>
      </c>
    </row>
    <row r="179" spans="1:14" x14ac:dyDescent="0.3">
      <c r="A179" s="5" t="s">
        <v>984</v>
      </c>
      <c r="B179" s="9" t="s">
        <v>985</v>
      </c>
      <c r="C179" s="9" t="s">
        <v>67</v>
      </c>
      <c r="D179" s="9" t="s">
        <v>56</v>
      </c>
      <c r="E179" s="9" t="s">
        <v>41</v>
      </c>
      <c r="F179" s="9" t="s">
        <v>35</v>
      </c>
      <c r="G179" s="9" t="s">
        <v>73</v>
      </c>
      <c r="H179" s="5">
        <v>62</v>
      </c>
      <c r="I179" s="6">
        <v>37484</v>
      </c>
      <c r="J179" s="7">
        <v>234594</v>
      </c>
      <c r="K179" s="9" t="s">
        <v>19</v>
      </c>
      <c r="L179" s="9" t="s">
        <v>20</v>
      </c>
      <c r="M179">
        <f t="shared" ca="1" si="4"/>
        <v>23</v>
      </c>
      <c r="N179">
        <f t="shared" ca="1" si="5"/>
        <v>9.5</v>
      </c>
    </row>
    <row r="180" spans="1:14" x14ac:dyDescent="0.3">
      <c r="A180" s="5" t="s">
        <v>383</v>
      </c>
      <c r="B180" s="9" t="s">
        <v>384</v>
      </c>
      <c r="C180" s="9" t="s">
        <v>96</v>
      </c>
      <c r="D180" s="9" t="s">
        <v>15</v>
      </c>
      <c r="E180" s="9" t="s">
        <v>41</v>
      </c>
      <c r="F180" s="9" t="s">
        <v>17</v>
      </c>
      <c r="G180" s="9" t="s">
        <v>18</v>
      </c>
      <c r="H180" s="5">
        <v>39</v>
      </c>
      <c r="I180" s="6">
        <v>43229</v>
      </c>
      <c r="J180" s="7">
        <v>73317</v>
      </c>
      <c r="K180" s="9" t="s">
        <v>19</v>
      </c>
      <c r="L180" s="9" t="s">
        <v>45</v>
      </c>
      <c r="M180">
        <f t="shared" ca="1" si="4"/>
        <v>7</v>
      </c>
      <c r="N180">
        <f t="shared" ca="1" si="5"/>
        <v>4</v>
      </c>
    </row>
    <row r="181" spans="1:14" x14ac:dyDescent="0.3">
      <c r="A181" s="5" t="s">
        <v>258</v>
      </c>
      <c r="B181" s="9" t="s">
        <v>259</v>
      </c>
      <c r="C181" s="9" t="s">
        <v>253</v>
      </c>
      <c r="D181" s="9" t="s">
        <v>15</v>
      </c>
      <c r="E181" s="9" t="s">
        <v>25</v>
      </c>
      <c r="F181" s="9" t="s">
        <v>17</v>
      </c>
      <c r="G181" s="9" t="s">
        <v>26</v>
      </c>
      <c r="H181" s="5">
        <v>28</v>
      </c>
      <c r="I181" s="6">
        <v>44477</v>
      </c>
      <c r="J181" s="7">
        <v>64475</v>
      </c>
      <c r="K181" s="9" t="s">
        <v>19</v>
      </c>
      <c r="L181" s="9" t="s">
        <v>37</v>
      </c>
      <c r="M181">
        <f t="shared" ca="1" si="4"/>
        <v>4</v>
      </c>
      <c r="N181">
        <f t="shared" ca="1" si="5"/>
        <v>3</v>
      </c>
    </row>
    <row r="182" spans="1:14" x14ac:dyDescent="0.3">
      <c r="A182" s="5" t="s">
        <v>742</v>
      </c>
      <c r="B182" s="9" t="s">
        <v>743</v>
      </c>
      <c r="C182" s="9" t="s">
        <v>91</v>
      </c>
      <c r="D182" s="9" t="s">
        <v>68</v>
      </c>
      <c r="E182" s="9" t="s">
        <v>31</v>
      </c>
      <c r="F182" s="9" t="s">
        <v>17</v>
      </c>
      <c r="G182" s="9" t="s">
        <v>26</v>
      </c>
      <c r="H182" s="5">
        <v>33</v>
      </c>
      <c r="I182" s="6">
        <v>43904</v>
      </c>
      <c r="J182" s="7">
        <v>68846</v>
      </c>
      <c r="K182" s="9" t="s">
        <v>19</v>
      </c>
      <c r="L182" s="9" t="s">
        <v>27</v>
      </c>
      <c r="M182">
        <f t="shared" ca="1" si="4"/>
        <v>5</v>
      </c>
      <c r="N182">
        <f t="shared" ca="1" si="5"/>
        <v>3</v>
      </c>
    </row>
    <row r="183" spans="1:14" x14ac:dyDescent="0.3">
      <c r="A183" s="5" t="s">
        <v>423</v>
      </c>
      <c r="B183" s="9" t="s">
        <v>424</v>
      </c>
      <c r="C183" s="9" t="s">
        <v>34</v>
      </c>
      <c r="D183" s="9" t="s">
        <v>50</v>
      </c>
      <c r="E183" s="9" t="s">
        <v>41</v>
      </c>
      <c r="F183" s="9" t="s">
        <v>17</v>
      </c>
      <c r="G183" s="9" t="s">
        <v>73</v>
      </c>
      <c r="H183" s="5">
        <v>41</v>
      </c>
      <c r="I183" s="6">
        <v>42533</v>
      </c>
      <c r="J183" s="7">
        <v>70165</v>
      </c>
      <c r="K183" s="9" t="s">
        <v>19</v>
      </c>
      <c r="L183" s="9" t="s">
        <v>76</v>
      </c>
      <c r="M183">
        <f t="shared" ca="1" si="4"/>
        <v>9</v>
      </c>
      <c r="N183">
        <f t="shared" ca="1" si="5"/>
        <v>5.5</v>
      </c>
    </row>
    <row r="184" spans="1:14" x14ac:dyDescent="0.3">
      <c r="A184" s="5" t="s">
        <v>1537</v>
      </c>
      <c r="B184" s="9" t="s">
        <v>1538</v>
      </c>
      <c r="C184" s="9" t="s">
        <v>44</v>
      </c>
      <c r="D184" s="9" t="s">
        <v>50</v>
      </c>
      <c r="E184" s="9" t="s">
        <v>41</v>
      </c>
      <c r="F184" s="9" t="s">
        <v>17</v>
      </c>
      <c r="G184" s="9" t="s">
        <v>36</v>
      </c>
      <c r="H184" s="5">
        <v>55</v>
      </c>
      <c r="I184" s="6">
        <v>40899</v>
      </c>
      <c r="J184" s="7">
        <v>54733</v>
      </c>
      <c r="K184" s="9" t="s">
        <v>1310</v>
      </c>
      <c r="L184" s="9" t="s">
        <v>1311</v>
      </c>
      <c r="M184">
        <f t="shared" ca="1" si="4"/>
        <v>13</v>
      </c>
      <c r="N184">
        <f t="shared" ca="1" si="5"/>
        <v>8</v>
      </c>
    </row>
    <row r="185" spans="1:14" x14ac:dyDescent="0.3">
      <c r="A185" s="5" t="s">
        <v>521</v>
      </c>
      <c r="B185" s="9" t="s">
        <v>522</v>
      </c>
      <c r="C185" s="9" t="s">
        <v>91</v>
      </c>
      <c r="D185" s="9" t="s">
        <v>24</v>
      </c>
      <c r="E185" s="9" t="s">
        <v>25</v>
      </c>
      <c r="F185" s="9" t="s">
        <v>17</v>
      </c>
      <c r="G185" s="9" t="s">
        <v>73</v>
      </c>
      <c r="H185" s="5">
        <v>53</v>
      </c>
      <c r="I185" s="6">
        <v>37296</v>
      </c>
      <c r="J185" s="7">
        <v>58605</v>
      </c>
      <c r="K185" s="9" t="s">
        <v>19</v>
      </c>
      <c r="L185" s="9" t="s">
        <v>37</v>
      </c>
      <c r="M185">
        <f t="shared" ca="1" si="4"/>
        <v>23</v>
      </c>
      <c r="N185">
        <f t="shared" ca="1" si="5"/>
        <v>9.5</v>
      </c>
    </row>
    <row r="186" spans="1:14" x14ac:dyDescent="0.3">
      <c r="A186" s="5" t="s">
        <v>527</v>
      </c>
      <c r="B186" s="9" t="s">
        <v>528</v>
      </c>
      <c r="C186" s="9" t="s">
        <v>253</v>
      </c>
      <c r="D186" s="9" t="s">
        <v>15</v>
      </c>
      <c r="E186" s="9" t="s">
        <v>31</v>
      </c>
      <c r="F186" s="9" t="s">
        <v>17</v>
      </c>
      <c r="G186" s="9" t="s">
        <v>26</v>
      </c>
      <c r="H186" s="5">
        <v>65</v>
      </c>
      <c r="I186" s="6">
        <v>43234</v>
      </c>
      <c r="J186" s="7">
        <v>60985</v>
      </c>
      <c r="K186" s="9" t="s">
        <v>19</v>
      </c>
      <c r="L186" s="9" t="s">
        <v>20</v>
      </c>
      <c r="M186">
        <f t="shared" ca="1" si="4"/>
        <v>7</v>
      </c>
      <c r="N186">
        <f t="shared" ca="1" si="5"/>
        <v>4</v>
      </c>
    </row>
    <row r="187" spans="1:14" x14ac:dyDescent="0.3">
      <c r="A187" s="5" t="s">
        <v>527</v>
      </c>
      <c r="B187" s="9" t="s">
        <v>1280</v>
      </c>
      <c r="C187" s="9" t="s">
        <v>40</v>
      </c>
      <c r="D187" s="9" t="s">
        <v>50</v>
      </c>
      <c r="E187" s="9" t="s">
        <v>31</v>
      </c>
      <c r="F187" s="9" t="s">
        <v>35</v>
      </c>
      <c r="G187" s="9" t="s">
        <v>26</v>
      </c>
      <c r="H187" s="5">
        <v>57</v>
      </c>
      <c r="I187" s="6">
        <v>43484</v>
      </c>
      <c r="J187" s="7">
        <v>101577</v>
      </c>
      <c r="K187" s="9" t="s">
        <v>19</v>
      </c>
      <c r="L187" s="9" t="s">
        <v>27</v>
      </c>
      <c r="M187">
        <f t="shared" ca="1" si="4"/>
        <v>6</v>
      </c>
      <c r="N187">
        <f t="shared" ca="1" si="5"/>
        <v>4</v>
      </c>
    </row>
    <row r="188" spans="1:14" x14ac:dyDescent="0.3">
      <c r="A188" s="5" t="s">
        <v>1784</v>
      </c>
      <c r="B188" s="9" t="s">
        <v>1785</v>
      </c>
      <c r="C188" s="9" t="s">
        <v>67</v>
      </c>
      <c r="D188" s="9" t="s">
        <v>24</v>
      </c>
      <c r="E188" s="9" t="s">
        <v>41</v>
      </c>
      <c r="F188" s="9" t="s">
        <v>35</v>
      </c>
      <c r="G188" s="9" t="s">
        <v>73</v>
      </c>
      <c r="H188" s="5">
        <v>50</v>
      </c>
      <c r="I188" s="6">
        <v>38004</v>
      </c>
      <c r="J188" s="7">
        <v>247939</v>
      </c>
      <c r="K188" s="9" t="s">
        <v>1717</v>
      </c>
      <c r="L188" s="9" t="s">
        <v>1721</v>
      </c>
      <c r="M188">
        <f t="shared" ca="1" si="4"/>
        <v>21</v>
      </c>
      <c r="N188">
        <f t="shared" ca="1" si="5"/>
        <v>9.5</v>
      </c>
    </row>
    <row r="189" spans="1:14" x14ac:dyDescent="0.3">
      <c r="A189" s="5" t="s">
        <v>1931</v>
      </c>
      <c r="B189" s="9" t="s">
        <v>1932</v>
      </c>
      <c r="C189" s="9" t="s">
        <v>234</v>
      </c>
      <c r="D189" s="9" t="s">
        <v>15</v>
      </c>
      <c r="E189" s="9" t="s">
        <v>16</v>
      </c>
      <c r="F189" s="9" t="s">
        <v>35</v>
      </c>
      <c r="G189" s="9" t="s">
        <v>73</v>
      </c>
      <c r="H189" s="5">
        <v>64</v>
      </c>
      <c r="I189" s="6">
        <v>44009</v>
      </c>
      <c r="J189" s="7">
        <v>40316</v>
      </c>
      <c r="K189" s="9" t="s">
        <v>1717</v>
      </c>
      <c r="L189" s="9" t="s">
        <v>1718</v>
      </c>
      <c r="M189">
        <f t="shared" ca="1" si="4"/>
        <v>5</v>
      </c>
      <c r="N189">
        <f t="shared" ca="1" si="5"/>
        <v>3</v>
      </c>
    </row>
    <row r="190" spans="1:14" x14ac:dyDescent="0.3">
      <c r="A190" s="5" t="s">
        <v>1108</v>
      </c>
      <c r="B190" s="9" t="s">
        <v>1109</v>
      </c>
      <c r="C190" s="9" t="s">
        <v>136</v>
      </c>
      <c r="D190" s="9" t="s">
        <v>60</v>
      </c>
      <c r="E190" s="9" t="s">
        <v>41</v>
      </c>
      <c r="F190" s="9" t="s">
        <v>35</v>
      </c>
      <c r="G190" s="9" t="s">
        <v>73</v>
      </c>
      <c r="H190" s="5">
        <v>59</v>
      </c>
      <c r="I190" s="6">
        <v>39701</v>
      </c>
      <c r="J190" s="7">
        <v>96313</v>
      </c>
      <c r="K190" s="9" t="s">
        <v>19</v>
      </c>
      <c r="L190" s="9" t="s">
        <v>51</v>
      </c>
      <c r="M190">
        <f t="shared" ca="1" si="4"/>
        <v>17</v>
      </c>
      <c r="N190">
        <f t="shared" ca="1" si="5"/>
        <v>8</v>
      </c>
    </row>
    <row r="191" spans="1:14" x14ac:dyDescent="0.3">
      <c r="A191" s="5" t="s">
        <v>685</v>
      </c>
      <c r="B191" s="9" t="s">
        <v>686</v>
      </c>
      <c r="C191" s="9" t="s">
        <v>40</v>
      </c>
      <c r="D191" s="9" t="s">
        <v>50</v>
      </c>
      <c r="E191" s="9" t="s">
        <v>25</v>
      </c>
      <c r="F191" s="9" t="s">
        <v>17</v>
      </c>
      <c r="G191" s="9" t="s">
        <v>73</v>
      </c>
      <c r="H191" s="5">
        <v>46</v>
      </c>
      <c r="I191" s="6">
        <v>40292</v>
      </c>
      <c r="J191" s="7">
        <v>102636</v>
      </c>
      <c r="K191" s="9" t="s">
        <v>19</v>
      </c>
      <c r="L191" s="9" t="s">
        <v>20</v>
      </c>
      <c r="M191">
        <f t="shared" ca="1" si="4"/>
        <v>15</v>
      </c>
      <c r="N191">
        <f t="shared" ca="1" si="5"/>
        <v>8</v>
      </c>
    </row>
    <row r="192" spans="1:14" x14ac:dyDescent="0.3">
      <c r="A192" s="5" t="s">
        <v>1203</v>
      </c>
      <c r="B192" s="9" t="s">
        <v>1204</v>
      </c>
      <c r="C192" s="9" t="s">
        <v>157</v>
      </c>
      <c r="D192" s="9" t="s">
        <v>15</v>
      </c>
      <c r="E192" s="9" t="s">
        <v>31</v>
      </c>
      <c r="F192" s="9" t="s">
        <v>17</v>
      </c>
      <c r="G192" s="9" t="s">
        <v>36</v>
      </c>
      <c r="H192" s="5">
        <v>33</v>
      </c>
      <c r="I192" s="6">
        <v>43029</v>
      </c>
      <c r="J192" s="7">
        <v>69332</v>
      </c>
      <c r="K192" s="9" t="s">
        <v>19</v>
      </c>
      <c r="L192" s="9" t="s">
        <v>76</v>
      </c>
      <c r="M192">
        <f t="shared" ca="1" si="4"/>
        <v>8</v>
      </c>
      <c r="N192">
        <f t="shared" ca="1" si="5"/>
        <v>5.5</v>
      </c>
    </row>
    <row r="193" spans="1:14" x14ac:dyDescent="0.3">
      <c r="A193" s="5" t="s">
        <v>385</v>
      </c>
      <c r="B193" s="9" t="s">
        <v>386</v>
      </c>
      <c r="C193" s="9" t="s">
        <v>307</v>
      </c>
      <c r="D193" s="9" t="s">
        <v>15</v>
      </c>
      <c r="E193" s="9" t="s">
        <v>25</v>
      </c>
      <c r="F193" s="9" t="s">
        <v>17</v>
      </c>
      <c r="G193" s="9" t="s">
        <v>36</v>
      </c>
      <c r="H193" s="5">
        <v>40</v>
      </c>
      <c r="I193" s="6">
        <v>41451</v>
      </c>
      <c r="J193" s="7">
        <v>69096</v>
      </c>
      <c r="K193" s="9" t="s">
        <v>19</v>
      </c>
      <c r="L193" s="9" t="s">
        <v>20</v>
      </c>
      <c r="M193">
        <f t="shared" ca="1" si="4"/>
        <v>12</v>
      </c>
      <c r="N193">
        <f t="shared" ca="1" si="5"/>
        <v>8</v>
      </c>
    </row>
    <row r="194" spans="1:14" x14ac:dyDescent="0.3">
      <c r="A194" s="5" t="s">
        <v>289</v>
      </c>
      <c r="B194" s="9" t="s">
        <v>290</v>
      </c>
      <c r="C194" s="9" t="s">
        <v>40</v>
      </c>
      <c r="D194" s="9" t="s">
        <v>68</v>
      </c>
      <c r="E194" s="9" t="s">
        <v>16</v>
      </c>
      <c r="F194" s="9" t="s">
        <v>35</v>
      </c>
      <c r="G194" s="9" t="s">
        <v>36</v>
      </c>
      <c r="H194" s="5">
        <v>55</v>
      </c>
      <c r="I194" s="6">
        <v>34595</v>
      </c>
      <c r="J194" s="7">
        <v>102270</v>
      </c>
      <c r="K194" s="9" t="s">
        <v>19</v>
      </c>
      <c r="L194" s="9" t="s">
        <v>27</v>
      </c>
      <c r="M194">
        <f t="shared" ca="1" si="4"/>
        <v>31</v>
      </c>
      <c r="N194">
        <f t="shared" ca="1" si="5"/>
        <v>15</v>
      </c>
    </row>
    <row r="195" spans="1:14" x14ac:dyDescent="0.3">
      <c r="A195" s="5" t="s">
        <v>1214</v>
      </c>
      <c r="B195" s="9" t="s">
        <v>1215</v>
      </c>
      <c r="C195" s="9" t="s">
        <v>14</v>
      </c>
      <c r="D195" s="9" t="s">
        <v>56</v>
      </c>
      <c r="E195" s="9" t="s">
        <v>25</v>
      </c>
      <c r="F195" s="9" t="s">
        <v>17</v>
      </c>
      <c r="G195" s="9" t="s">
        <v>18</v>
      </c>
      <c r="H195" s="5">
        <v>25</v>
      </c>
      <c r="I195" s="6">
        <v>44272</v>
      </c>
      <c r="J195" s="7">
        <v>155080</v>
      </c>
      <c r="K195" s="9" t="s">
        <v>19</v>
      </c>
      <c r="L195" s="9" t="s">
        <v>51</v>
      </c>
      <c r="M195">
        <f t="shared" ref="M195:M258" ca="1" si="6">DATEDIF(I195,TODAY(),"Y")</f>
        <v>4</v>
      </c>
      <c r="N195">
        <f t="shared" ref="N195:N258" ca="1" si="7">_xlfn.XLOOKUP(M195,$Q$3:$Q$11,$R$3:$R$11,0,-1)</f>
        <v>3</v>
      </c>
    </row>
    <row r="196" spans="1:14" x14ac:dyDescent="0.3">
      <c r="A196" s="5" t="s">
        <v>71</v>
      </c>
      <c r="B196" s="9" t="s">
        <v>72</v>
      </c>
      <c r="C196" s="9" t="s">
        <v>14</v>
      </c>
      <c r="D196" s="9" t="s">
        <v>68</v>
      </c>
      <c r="E196" s="9" t="s">
        <v>25</v>
      </c>
      <c r="F196" s="9" t="s">
        <v>17</v>
      </c>
      <c r="G196" s="9" t="s">
        <v>73</v>
      </c>
      <c r="H196" s="5">
        <v>64</v>
      </c>
      <c r="I196" s="6">
        <v>37956</v>
      </c>
      <c r="J196" s="7">
        <v>154828</v>
      </c>
      <c r="K196" s="9" t="s">
        <v>19</v>
      </c>
      <c r="L196" s="9" t="s">
        <v>20</v>
      </c>
      <c r="M196">
        <f t="shared" ca="1" si="6"/>
        <v>21</v>
      </c>
      <c r="N196">
        <f t="shared" ca="1" si="7"/>
        <v>9.5</v>
      </c>
    </row>
    <row r="197" spans="1:14" x14ac:dyDescent="0.3">
      <c r="A197" s="5" t="s">
        <v>1823</v>
      </c>
      <c r="B197" s="9" t="s">
        <v>1824</v>
      </c>
      <c r="C197" s="9" t="s">
        <v>34</v>
      </c>
      <c r="D197" s="9" t="s">
        <v>68</v>
      </c>
      <c r="E197" s="9" t="s">
        <v>31</v>
      </c>
      <c r="F197" s="9" t="s">
        <v>17</v>
      </c>
      <c r="G197" s="9" t="s">
        <v>73</v>
      </c>
      <c r="H197" s="5">
        <v>33</v>
      </c>
      <c r="I197" s="6">
        <v>41756</v>
      </c>
      <c r="J197" s="7">
        <v>75869</v>
      </c>
      <c r="K197" s="9" t="s">
        <v>1717</v>
      </c>
      <c r="L197" s="9" t="s">
        <v>1736</v>
      </c>
      <c r="M197">
        <f t="shared" ca="1" si="6"/>
        <v>11</v>
      </c>
      <c r="N197">
        <f t="shared" ca="1" si="7"/>
        <v>5.5</v>
      </c>
    </row>
    <row r="198" spans="1:14" x14ac:dyDescent="0.3">
      <c r="A198" s="5" t="s">
        <v>343</v>
      </c>
      <c r="B198" s="9" t="s">
        <v>344</v>
      </c>
      <c r="C198" s="9" t="s">
        <v>67</v>
      </c>
      <c r="D198" s="9" t="s">
        <v>60</v>
      </c>
      <c r="E198" s="9" t="s">
        <v>31</v>
      </c>
      <c r="F198" s="9" t="s">
        <v>17</v>
      </c>
      <c r="G198" s="9" t="s">
        <v>26</v>
      </c>
      <c r="H198" s="5">
        <v>30</v>
      </c>
      <c r="I198" s="6">
        <v>43165</v>
      </c>
      <c r="J198" s="7">
        <v>255431</v>
      </c>
      <c r="K198" s="9" t="s">
        <v>19</v>
      </c>
      <c r="L198" s="9" t="s">
        <v>76</v>
      </c>
      <c r="M198">
        <f t="shared" ca="1" si="6"/>
        <v>7</v>
      </c>
      <c r="N198">
        <f t="shared" ca="1" si="7"/>
        <v>4</v>
      </c>
    </row>
    <row r="199" spans="1:14" x14ac:dyDescent="0.3">
      <c r="A199" s="5" t="s">
        <v>812</v>
      </c>
      <c r="B199" s="9" t="s">
        <v>813</v>
      </c>
      <c r="C199" s="9" t="s">
        <v>451</v>
      </c>
      <c r="D199" s="9" t="s">
        <v>15</v>
      </c>
      <c r="E199" s="9" t="s">
        <v>25</v>
      </c>
      <c r="F199" s="9" t="s">
        <v>17</v>
      </c>
      <c r="G199" s="9" t="s">
        <v>73</v>
      </c>
      <c r="H199" s="5">
        <v>45</v>
      </c>
      <c r="I199" s="6">
        <v>43937</v>
      </c>
      <c r="J199" s="7">
        <v>66958</v>
      </c>
      <c r="K199" s="9" t="s">
        <v>19</v>
      </c>
      <c r="L199" s="9" t="s">
        <v>45</v>
      </c>
      <c r="M199">
        <f t="shared" ca="1" si="6"/>
        <v>5</v>
      </c>
      <c r="N199">
        <f t="shared" ca="1" si="7"/>
        <v>3</v>
      </c>
    </row>
    <row r="200" spans="1:14" x14ac:dyDescent="0.3">
      <c r="A200" s="5" t="s">
        <v>168</v>
      </c>
      <c r="B200" s="9" t="s">
        <v>169</v>
      </c>
      <c r="C200" s="9" t="s">
        <v>91</v>
      </c>
      <c r="D200" s="9" t="s">
        <v>68</v>
      </c>
      <c r="E200" s="9" t="s">
        <v>41</v>
      </c>
      <c r="F200" s="9" t="s">
        <v>35</v>
      </c>
      <c r="G200" s="9" t="s">
        <v>18</v>
      </c>
      <c r="H200" s="5">
        <v>41</v>
      </c>
      <c r="I200" s="6">
        <v>42626</v>
      </c>
      <c r="J200" s="7">
        <v>64847</v>
      </c>
      <c r="K200" s="9" t="s">
        <v>19</v>
      </c>
      <c r="L200" s="9" t="s">
        <v>45</v>
      </c>
      <c r="M200">
        <f t="shared" ca="1" si="6"/>
        <v>9</v>
      </c>
      <c r="N200">
        <f t="shared" ca="1" si="7"/>
        <v>5.5</v>
      </c>
    </row>
    <row r="201" spans="1:14" x14ac:dyDescent="0.3">
      <c r="A201" s="5" t="s">
        <v>291</v>
      </c>
      <c r="B201" s="9" t="s">
        <v>292</v>
      </c>
      <c r="C201" s="9" t="s">
        <v>44</v>
      </c>
      <c r="D201" s="9" t="s">
        <v>24</v>
      </c>
      <c r="E201" s="9" t="s">
        <v>31</v>
      </c>
      <c r="F201" s="9" t="s">
        <v>17</v>
      </c>
      <c r="G201" s="9" t="s">
        <v>36</v>
      </c>
      <c r="H201" s="5">
        <v>55</v>
      </c>
      <c r="I201" s="6">
        <v>37343</v>
      </c>
      <c r="J201" s="7">
        <v>50475</v>
      </c>
      <c r="K201" s="9" t="s">
        <v>19</v>
      </c>
      <c r="L201" s="9" t="s">
        <v>76</v>
      </c>
      <c r="M201">
        <f t="shared" ca="1" si="6"/>
        <v>23</v>
      </c>
      <c r="N201">
        <f t="shared" ca="1" si="7"/>
        <v>9.5</v>
      </c>
    </row>
    <row r="202" spans="1:14" x14ac:dyDescent="0.3">
      <c r="A202" s="5" t="s">
        <v>1955</v>
      </c>
      <c r="B202" s="9" t="s">
        <v>1956</v>
      </c>
      <c r="C202" s="9" t="s">
        <v>23</v>
      </c>
      <c r="D202" s="9" t="s">
        <v>79</v>
      </c>
      <c r="E202" s="9" t="s">
        <v>25</v>
      </c>
      <c r="F202" s="9" t="s">
        <v>17</v>
      </c>
      <c r="G202" s="9" t="s">
        <v>73</v>
      </c>
      <c r="H202" s="5">
        <v>27</v>
      </c>
      <c r="I202" s="6">
        <v>43397</v>
      </c>
      <c r="J202" s="7">
        <v>154973</v>
      </c>
      <c r="K202" s="9" t="s">
        <v>1717</v>
      </c>
      <c r="L202" s="9" t="s">
        <v>1736</v>
      </c>
      <c r="M202">
        <f t="shared" ca="1" si="6"/>
        <v>7</v>
      </c>
      <c r="N202">
        <f t="shared" ca="1" si="7"/>
        <v>4</v>
      </c>
    </row>
    <row r="203" spans="1:14" x14ac:dyDescent="0.3">
      <c r="A203" s="5" t="s">
        <v>1630</v>
      </c>
      <c r="B203" s="9" t="s">
        <v>1631</v>
      </c>
      <c r="C203" s="9" t="s">
        <v>139</v>
      </c>
      <c r="D203" s="9" t="s">
        <v>56</v>
      </c>
      <c r="E203" s="9" t="s">
        <v>31</v>
      </c>
      <c r="F203" s="9" t="s">
        <v>17</v>
      </c>
      <c r="G203" s="9" t="s">
        <v>36</v>
      </c>
      <c r="H203" s="5">
        <v>25</v>
      </c>
      <c r="I203" s="6">
        <v>44270</v>
      </c>
      <c r="J203" s="7">
        <v>47974</v>
      </c>
      <c r="K203" s="9" t="s">
        <v>1310</v>
      </c>
      <c r="L203" s="9" t="s">
        <v>1311</v>
      </c>
      <c r="M203">
        <f t="shared" ca="1" si="6"/>
        <v>4</v>
      </c>
      <c r="N203">
        <f t="shared" ca="1" si="7"/>
        <v>3</v>
      </c>
    </row>
    <row r="204" spans="1:14" x14ac:dyDescent="0.3">
      <c r="A204" s="5" t="s">
        <v>1134</v>
      </c>
      <c r="B204" s="9" t="s">
        <v>1135</v>
      </c>
      <c r="C204" s="9" t="s">
        <v>130</v>
      </c>
      <c r="D204" s="9" t="s">
        <v>60</v>
      </c>
      <c r="E204" s="9" t="s">
        <v>16</v>
      </c>
      <c r="F204" s="9" t="s">
        <v>35</v>
      </c>
      <c r="G204" s="9" t="s">
        <v>26</v>
      </c>
      <c r="H204" s="5">
        <v>59</v>
      </c>
      <c r="I204" s="6">
        <v>35153</v>
      </c>
      <c r="J204" s="7">
        <v>62605</v>
      </c>
      <c r="K204" s="9" t="s">
        <v>19</v>
      </c>
      <c r="L204" s="9" t="s">
        <v>51</v>
      </c>
      <c r="M204">
        <f t="shared" ca="1" si="6"/>
        <v>29</v>
      </c>
      <c r="N204">
        <f t="shared" ca="1" si="7"/>
        <v>10</v>
      </c>
    </row>
    <row r="205" spans="1:14" x14ac:dyDescent="0.3">
      <c r="A205" s="5" t="s">
        <v>1134</v>
      </c>
      <c r="B205" s="9" t="s">
        <v>1186</v>
      </c>
      <c r="C205" s="9" t="s">
        <v>23</v>
      </c>
      <c r="D205" s="9" t="s">
        <v>56</v>
      </c>
      <c r="E205" s="9" t="s">
        <v>25</v>
      </c>
      <c r="F205" s="9" t="s">
        <v>17</v>
      </c>
      <c r="G205" s="9" t="s">
        <v>36</v>
      </c>
      <c r="H205" s="5">
        <v>38</v>
      </c>
      <c r="I205" s="6">
        <v>39232</v>
      </c>
      <c r="J205" s="7">
        <v>198562</v>
      </c>
      <c r="K205" s="9" t="s">
        <v>19</v>
      </c>
      <c r="L205" s="9" t="s">
        <v>20</v>
      </c>
      <c r="M205">
        <f t="shared" ca="1" si="6"/>
        <v>18</v>
      </c>
      <c r="N205">
        <f t="shared" ca="1" si="7"/>
        <v>9.5</v>
      </c>
    </row>
    <row r="206" spans="1:14" x14ac:dyDescent="0.3">
      <c r="A206" s="5" t="s">
        <v>1907</v>
      </c>
      <c r="B206" s="9" t="s">
        <v>1908</v>
      </c>
      <c r="C206" s="9" t="s">
        <v>196</v>
      </c>
      <c r="D206" s="9" t="s">
        <v>60</v>
      </c>
      <c r="E206" s="9" t="s">
        <v>25</v>
      </c>
      <c r="F206" s="9" t="s">
        <v>35</v>
      </c>
      <c r="G206" s="9" t="s">
        <v>73</v>
      </c>
      <c r="H206" s="5">
        <v>54</v>
      </c>
      <c r="I206" s="6">
        <v>41237</v>
      </c>
      <c r="J206" s="7">
        <v>94407</v>
      </c>
      <c r="K206" s="9" t="s">
        <v>1717</v>
      </c>
      <c r="L206" s="9" t="s">
        <v>1736</v>
      </c>
      <c r="M206">
        <f t="shared" ca="1" si="6"/>
        <v>13</v>
      </c>
      <c r="N206">
        <f t="shared" ca="1" si="7"/>
        <v>8</v>
      </c>
    </row>
    <row r="207" spans="1:14" x14ac:dyDescent="0.3">
      <c r="A207" s="5" t="s">
        <v>1268</v>
      </c>
      <c r="B207" s="9" t="s">
        <v>1269</v>
      </c>
      <c r="C207" s="9" t="s">
        <v>196</v>
      </c>
      <c r="D207" s="9" t="s">
        <v>60</v>
      </c>
      <c r="E207" s="9" t="s">
        <v>16</v>
      </c>
      <c r="F207" s="9" t="s">
        <v>17</v>
      </c>
      <c r="G207" s="9" t="s">
        <v>36</v>
      </c>
      <c r="H207" s="5">
        <v>37</v>
      </c>
      <c r="I207" s="6">
        <v>43898</v>
      </c>
      <c r="J207" s="7">
        <v>80659</v>
      </c>
      <c r="K207" s="9" t="s">
        <v>19</v>
      </c>
      <c r="L207" s="9" t="s">
        <v>37</v>
      </c>
      <c r="M207">
        <f t="shared" ca="1" si="6"/>
        <v>5</v>
      </c>
      <c r="N207">
        <f t="shared" ca="1" si="7"/>
        <v>3</v>
      </c>
    </row>
    <row r="208" spans="1:14" x14ac:dyDescent="0.3">
      <c r="A208" s="5" t="s">
        <v>247</v>
      </c>
      <c r="B208" s="9" t="s">
        <v>248</v>
      </c>
      <c r="C208" s="9" t="s">
        <v>14</v>
      </c>
      <c r="D208" s="9" t="s">
        <v>79</v>
      </c>
      <c r="E208" s="9" t="s">
        <v>41</v>
      </c>
      <c r="F208" s="9" t="s">
        <v>17</v>
      </c>
      <c r="G208" s="9" t="s">
        <v>26</v>
      </c>
      <c r="H208" s="5">
        <v>46</v>
      </c>
      <c r="I208" s="6">
        <v>41473</v>
      </c>
      <c r="J208" s="7">
        <v>149712</v>
      </c>
      <c r="K208" s="9" t="s">
        <v>19</v>
      </c>
      <c r="L208" s="9" t="s">
        <v>76</v>
      </c>
      <c r="M208">
        <f t="shared" ca="1" si="6"/>
        <v>12</v>
      </c>
      <c r="N208">
        <f t="shared" ca="1" si="7"/>
        <v>8</v>
      </c>
    </row>
    <row r="209" spans="1:14" x14ac:dyDescent="0.3">
      <c r="A209" s="5" t="s">
        <v>1512</v>
      </c>
      <c r="B209" s="9" t="s">
        <v>1513</v>
      </c>
      <c r="C209" s="9" t="s">
        <v>30</v>
      </c>
      <c r="D209" s="9" t="s">
        <v>15</v>
      </c>
      <c r="E209" s="9" t="s">
        <v>25</v>
      </c>
      <c r="F209" s="9" t="s">
        <v>35</v>
      </c>
      <c r="G209" s="9" t="s">
        <v>36</v>
      </c>
      <c r="H209" s="5">
        <v>53</v>
      </c>
      <c r="I209" s="6">
        <v>39487</v>
      </c>
      <c r="J209" s="7">
        <v>84193</v>
      </c>
      <c r="K209" s="9" t="s">
        <v>1310</v>
      </c>
      <c r="L209" s="9" t="s">
        <v>1316</v>
      </c>
      <c r="M209">
        <f t="shared" ca="1" si="6"/>
        <v>17</v>
      </c>
      <c r="N209">
        <f t="shared" ca="1" si="7"/>
        <v>8</v>
      </c>
    </row>
    <row r="210" spans="1:14" x14ac:dyDescent="0.3">
      <c r="A210" s="5" t="s">
        <v>1744</v>
      </c>
      <c r="B210" s="9" t="s">
        <v>1873</v>
      </c>
      <c r="C210" s="9" t="s">
        <v>121</v>
      </c>
      <c r="D210" s="9" t="s">
        <v>56</v>
      </c>
      <c r="E210" s="9" t="s">
        <v>16</v>
      </c>
      <c r="F210" s="9" t="s">
        <v>17</v>
      </c>
      <c r="G210" s="9" t="s">
        <v>73</v>
      </c>
      <c r="H210" s="5">
        <v>52</v>
      </c>
      <c r="I210" s="6">
        <v>44304</v>
      </c>
      <c r="J210" s="7">
        <v>50548</v>
      </c>
      <c r="K210" s="9" t="s">
        <v>1717</v>
      </c>
      <c r="L210" s="9" t="s">
        <v>1736</v>
      </c>
      <c r="M210">
        <f t="shared" ca="1" si="6"/>
        <v>4</v>
      </c>
      <c r="N210">
        <f t="shared" ca="1" si="7"/>
        <v>3</v>
      </c>
    </row>
    <row r="211" spans="1:14" x14ac:dyDescent="0.3">
      <c r="A211" s="5" t="s">
        <v>1744</v>
      </c>
      <c r="B211" s="9" t="s">
        <v>1745</v>
      </c>
      <c r="C211" s="9" t="s">
        <v>91</v>
      </c>
      <c r="D211" s="9" t="s">
        <v>24</v>
      </c>
      <c r="E211" s="9" t="s">
        <v>41</v>
      </c>
      <c r="F211" s="9" t="s">
        <v>17</v>
      </c>
      <c r="G211" s="9" t="s">
        <v>73</v>
      </c>
      <c r="H211" s="5">
        <v>26</v>
      </c>
      <c r="I211" s="6">
        <v>43578</v>
      </c>
      <c r="J211" s="7">
        <v>59817</v>
      </c>
      <c r="K211" s="9" t="s">
        <v>1717</v>
      </c>
      <c r="L211" s="9" t="s">
        <v>1736</v>
      </c>
      <c r="M211">
        <f t="shared" ca="1" si="6"/>
        <v>6</v>
      </c>
      <c r="N211">
        <f t="shared" ca="1" si="7"/>
        <v>4</v>
      </c>
    </row>
    <row r="212" spans="1:14" x14ac:dyDescent="0.3">
      <c r="A212" s="5" t="s">
        <v>389</v>
      </c>
      <c r="B212" s="9" t="s">
        <v>390</v>
      </c>
      <c r="C212" s="9" t="s">
        <v>23</v>
      </c>
      <c r="D212" s="9" t="s">
        <v>56</v>
      </c>
      <c r="E212" s="9" t="s">
        <v>25</v>
      </c>
      <c r="F212" s="9" t="s">
        <v>17</v>
      </c>
      <c r="G212" s="9" t="s">
        <v>73</v>
      </c>
      <c r="H212" s="5">
        <v>65</v>
      </c>
      <c r="I212" s="6">
        <v>38130</v>
      </c>
      <c r="J212" s="7">
        <v>153938</v>
      </c>
      <c r="K212" s="9" t="s">
        <v>19</v>
      </c>
      <c r="L212" s="9" t="s">
        <v>37</v>
      </c>
      <c r="M212">
        <f t="shared" ca="1" si="6"/>
        <v>21</v>
      </c>
      <c r="N212">
        <f t="shared" ca="1" si="7"/>
        <v>9.5</v>
      </c>
    </row>
    <row r="213" spans="1:14" x14ac:dyDescent="0.3">
      <c r="A213" s="5" t="s">
        <v>1006</v>
      </c>
      <c r="B213" s="9" t="s">
        <v>1007</v>
      </c>
      <c r="C213" s="9" t="s">
        <v>211</v>
      </c>
      <c r="D213" s="9" t="s">
        <v>15</v>
      </c>
      <c r="E213" s="9" t="s">
        <v>41</v>
      </c>
      <c r="F213" s="9" t="s">
        <v>35</v>
      </c>
      <c r="G213" s="9" t="s">
        <v>36</v>
      </c>
      <c r="H213" s="5">
        <v>57</v>
      </c>
      <c r="I213" s="6">
        <v>37798</v>
      </c>
      <c r="J213" s="7">
        <v>63318</v>
      </c>
      <c r="K213" s="9" t="s">
        <v>19</v>
      </c>
      <c r="L213" s="9" t="s">
        <v>76</v>
      </c>
      <c r="M213">
        <f t="shared" ca="1" si="6"/>
        <v>22</v>
      </c>
      <c r="N213">
        <f t="shared" ca="1" si="7"/>
        <v>9.5</v>
      </c>
    </row>
    <row r="214" spans="1:14" x14ac:dyDescent="0.3">
      <c r="A214" s="5" t="s">
        <v>1201</v>
      </c>
      <c r="B214" s="9" t="s">
        <v>1202</v>
      </c>
      <c r="C214" s="9" t="s">
        <v>91</v>
      </c>
      <c r="D214" s="9" t="s">
        <v>79</v>
      </c>
      <c r="E214" s="9" t="s">
        <v>31</v>
      </c>
      <c r="F214" s="9" t="s">
        <v>17</v>
      </c>
      <c r="G214" s="9" t="s">
        <v>26</v>
      </c>
      <c r="H214" s="5">
        <v>29</v>
      </c>
      <c r="I214" s="6">
        <v>42691</v>
      </c>
      <c r="J214" s="7">
        <v>60930</v>
      </c>
      <c r="K214" s="9" t="s">
        <v>19</v>
      </c>
      <c r="L214" s="9" t="s">
        <v>51</v>
      </c>
      <c r="M214">
        <f t="shared" ca="1" si="6"/>
        <v>9</v>
      </c>
      <c r="N214">
        <f t="shared" ca="1" si="7"/>
        <v>5.5</v>
      </c>
    </row>
    <row r="215" spans="1:14" x14ac:dyDescent="0.3">
      <c r="A215" s="5" t="s">
        <v>1403</v>
      </c>
      <c r="B215" s="9" t="s">
        <v>1404</v>
      </c>
      <c r="C215" s="9" t="s">
        <v>40</v>
      </c>
      <c r="D215" s="9" t="s">
        <v>79</v>
      </c>
      <c r="E215" s="9" t="s">
        <v>41</v>
      </c>
      <c r="F215" s="9" t="s">
        <v>35</v>
      </c>
      <c r="G215" s="9" t="s">
        <v>36</v>
      </c>
      <c r="H215" s="5">
        <v>28</v>
      </c>
      <c r="I215" s="6">
        <v>44274</v>
      </c>
      <c r="J215" s="7">
        <v>127543</v>
      </c>
      <c r="K215" s="9" t="s">
        <v>1310</v>
      </c>
      <c r="L215" s="9" t="s">
        <v>1316</v>
      </c>
      <c r="M215">
        <f t="shared" ca="1" si="6"/>
        <v>4</v>
      </c>
      <c r="N215">
        <f t="shared" ca="1" si="7"/>
        <v>3</v>
      </c>
    </row>
    <row r="216" spans="1:14" x14ac:dyDescent="0.3">
      <c r="A216" s="5" t="s">
        <v>882</v>
      </c>
      <c r="B216" s="9" t="s">
        <v>883</v>
      </c>
      <c r="C216" s="9" t="s">
        <v>67</v>
      </c>
      <c r="D216" s="9" t="s">
        <v>24</v>
      </c>
      <c r="E216" s="9" t="s">
        <v>16</v>
      </c>
      <c r="F216" s="9" t="s">
        <v>17</v>
      </c>
      <c r="G216" s="9" t="s">
        <v>36</v>
      </c>
      <c r="H216" s="5">
        <v>25</v>
      </c>
      <c r="I216" s="6">
        <v>44515</v>
      </c>
      <c r="J216" s="7">
        <v>210708</v>
      </c>
      <c r="K216" s="9" t="s">
        <v>19</v>
      </c>
      <c r="L216" s="9" t="s">
        <v>27</v>
      </c>
      <c r="M216">
        <f t="shared" ca="1" si="6"/>
        <v>4</v>
      </c>
      <c r="N216">
        <f t="shared" ca="1" si="7"/>
        <v>3</v>
      </c>
    </row>
    <row r="217" spans="1:14" x14ac:dyDescent="0.3">
      <c r="A217" s="5" t="s">
        <v>1487</v>
      </c>
      <c r="B217" s="9" t="s">
        <v>1488</v>
      </c>
      <c r="C217" s="9" t="s">
        <v>23</v>
      </c>
      <c r="D217" s="9" t="s">
        <v>68</v>
      </c>
      <c r="E217" s="9" t="s">
        <v>16</v>
      </c>
      <c r="F217" s="9" t="s">
        <v>35</v>
      </c>
      <c r="G217" s="9" t="s">
        <v>36</v>
      </c>
      <c r="H217" s="5">
        <v>49</v>
      </c>
      <c r="I217" s="6">
        <v>36210</v>
      </c>
      <c r="J217" s="7">
        <v>191807</v>
      </c>
      <c r="K217" s="9" t="s">
        <v>1310</v>
      </c>
      <c r="L217" s="9" t="s">
        <v>1311</v>
      </c>
      <c r="M217">
        <f t="shared" ca="1" si="6"/>
        <v>26</v>
      </c>
      <c r="N217">
        <f t="shared" ca="1" si="7"/>
        <v>10</v>
      </c>
    </row>
    <row r="218" spans="1:14" x14ac:dyDescent="0.3">
      <c r="A218" s="5" t="s">
        <v>848</v>
      </c>
      <c r="B218" s="9" t="s">
        <v>849</v>
      </c>
      <c r="C218" s="9" t="s">
        <v>34</v>
      </c>
      <c r="D218" s="9" t="s">
        <v>79</v>
      </c>
      <c r="E218" s="9" t="s">
        <v>41</v>
      </c>
      <c r="F218" s="9" t="s">
        <v>35</v>
      </c>
      <c r="G218" s="9" t="s">
        <v>26</v>
      </c>
      <c r="H218" s="5">
        <v>45</v>
      </c>
      <c r="I218" s="6">
        <v>40618</v>
      </c>
      <c r="J218" s="7">
        <v>81687</v>
      </c>
      <c r="K218" s="9" t="s">
        <v>19</v>
      </c>
      <c r="L218" s="9" t="s">
        <v>37</v>
      </c>
      <c r="M218">
        <f t="shared" ca="1" si="6"/>
        <v>14</v>
      </c>
      <c r="N218">
        <f t="shared" ca="1" si="7"/>
        <v>8</v>
      </c>
    </row>
    <row r="219" spans="1:14" x14ac:dyDescent="0.3">
      <c r="A219" s="5" t="s">
        <v>1396</v>
      </c>
      <c r="B219" s="9" t="s">
        <v>1397</v>
      </c>
      <c r="C219" s="9" t="s">
        <v>577</v>
      </c>
      <c r="D219" s="9" t="s">
        <v>15</v>
      </c>
      <c r="E219" s="9" t="s">
        <v>16</v>
      </c>
      <c r="F219" s="9" t="s">
        <v>35</v>
      </c>
      <c r="G219" s="9" t="s">
        <v>36</v>
      </c>
      <c r="H219" s="5">
        <v>31</v>
      </c>
      <c r="I219" s="6">
        <v>44086</v>
      </c>
      <c r="J219" s="7">
        <v>96567</v>
      </c>
      <c r="K219" s="9" t="s">
        <v>1310</v>
      </c>
      <c r="L219" s="9" t="s">
        <v>1316</v>
      </c>
      <c r="M219">
        <f t="shared" ca="1" si="6"/>
        <v>5</v>
      </c>
      <c r="N219">
        <f t="shared" ca="1" si="7"/>
        <v>3</v>
      </c>
    </row>
    <row r="220" spans="1:14" x14ac:dyDescent="0.3">
      <c r="A220" s="5" t="s">
        <v>753</v>
      </c>
      <c r="B220" s="9" t="s">
        <v>1505</v>
      </c>
      <c r="C220" s="9" t="s">
        <v>14</v>
      </c>
      <c r="D220" s="9" t="s">
        <v>68</v>
      </c>
      <c r="E220" s="9" t="s">
        <v>16</v>
      </c>
      <c r="F220" s="9" t="s">
        <v>35</v>
      </c>
      <c r="G220" s="9" t="s">
        <v>36</v>
      </c>
      <c r="H220" s="5">
        <v>45</v>
      </c>
      <c r="I220" s="6">
        <v>37014</v>
      </c>
      <c r="J220" s="7">
        <v>147752</v>
      </c>
      <c r="K220" s="9" t="s">
        <v>1310</v>
      </c>
      <c r="L220" s="9" t="s">
        <v>1316</v>
      </c>
      <c r="M220">
        <f t="shared" ca="1" si="6"/>
        <v>24</v>
      </c>
      <c r="N220">
        <f t="shared" ca="1" si="7"/>
        <v>9.5</v>
      </c>
    </row>
    <row r="221" spans="1:14" x14ac:dyDescent="0.3">
      <c r="A221" s="5" t="s">
        <v>753</v>
      </c>
      <c r="B221" s="9" t="s">
        <v>754</v>
      </c>
      <c r="C221" s="9" t="s">
        <v>44</v>
      </c>
      <c r="D221" s="9" t="s">
        <v>79</v>
      </c>
      <c r="E221" s="9" t="s">
        <v>41</v>
      </c>
      <c r="F221" s="9" t="s">
        <v>35</v>
      </c>
      <c r="G221" s="9" t="s">
        <v>36</v>
      </c>
      <c r="H221" s="5">
        <v>40</v>
      </c>
      <c r="I221" s="6">
        <v>42721</v>
      </c>
      <c r="J221" s="7">
        <v>50733</v>
      </c>
      <c r="K221" s="9" t="s">
        <v>19</v>
      </c>
      <c r="L221" s="9" t="s">
        <v>45</v>
      </c>
      <c r="M221">
        <f t="shared" ca="1" si="6"/>
        <v>8</v>
      </c>
      <c r="N221">
        <f t="shared" ca="1" si="7"/>
        <v>5.5</v>
      </c>
    </row>
    <row r="222" spans="1:14" x14ac:dyDescent="0.3">
      <c r="A222" s="5" t="s">
        <v>403</v>
      </c>
      <c r="B222" s="9" t="s">
        <v>404</v>
      </c>
      <c r="C222" s="9" t="s">
        <v>14</v>
      </c>
      <c r="D222" s="9" t="s">
        <v>15</v>
      </c>
      <c r="E222" s="9" t="s">
        <v>31</v>
      </c>
      <c r="F222" s="9" t="s">
        <v>17</v>
      </c>
      <c r="G222" s="9" t="s">
        <v>36</v>
      </c>
      <c r="H222" s="5">
        <v>39</v>
      </c>
      <c r="I222" s="6">
        <v>42819</v>
      </c>
      <c r="J222" s="7">
        <v>135325</v>
      </c>
      <c r="K222" s="9" t="s">
        <v>19</v>
      </c>
      <c r="L222" s="9" t="s">
        <v>37</v>
      </c>
      <c r="M222">
        <f t="shared" ca="1" si="6"/>
        <v>8</v>
      </c>
      <c r="N222">
        <f t="shared" ca="1" si="7"/>
        <v>5.5</v>
      </c>
    </row>
    <row r="223" spans="1:14" x14ac:dyDescent="0.3">
      <c r="A223" s="5" t="s">
        <v>359</v>
      </c>
      <c r="B223" s="9" t="s">
        <v>360</v>
      </c>
      <c r="C223" s="9" t="s">
        <v>40</v>
      </c>
      <c r="D223" s="9" t="s">
        <v>24</v>
      </c>
      <c r="E223" s="9" t="s">
        <v>25</v>
      </c>
      <c r="F223" s="9" t="s">
        <v>35</v>
      </c>
      <c r="G223" s="9" t="s">
        <v>18</v>
      </c>
      <c r="H223" s="5">
        <v>51</v>
      </c>
      <c r="I223" s="6">
        <v>34746</v>
      </c>
      <c r="J223" s="7">
        <v>125375</v>
      </c>
      <c r="K223" s="9" t="s">
        <v>19</v>
      </c>
      <c r="L223" s="9" t="s">
        <v>27</v>
      </c>
      <c r="M223">
        <f t="shared" ca="1" si="6"/>
        <v>30</v>
      </c>
      <c r="N223">
        <f t="shared" ca="1" si="7"/>
        <v>15</v>
      </c>
    </row>
    <row r="224" spans="1:14" x14ac:dyDescent="0.3">
      <c r="A224" s="5" t="s">
        <v>359</v>
      </c>
      <c r="B224" s="9" t="s">
        <v>659</v>
      </c>
      <c r="C224" s="9" t="s">
        <v>67</v>
      </c>
      <c r="D224" s="9" t="s">
        <v>15</v>
      </c>
      <c r="E224" s="9" t="s">
        <v>41</v>
      </c>
      <c r="F224" s="9" t="s">
        <v>35</v>
      </c>
      <c r="G224" s="9" t="s">
        <v>26</v>
      </c>
      <c r="H224" s="5">
        <v>38</v>
      </c>
      <c r="I224" s="6">
        <v>42543</v>
      </c>
      <c r="J224" s="7">
        <v>249870</v>
      </c>
      <c r="K224" s="9" t="s">
        <v>19</v>
      </c>
      <c r="L224" s="9" t="s">
        <v>27</v>
      </c>
      <c r="M224">
        <f t="shared" ca="1" si="6"/>
        <v>9</v>
      </c>
      <c r="N224">
        <f t="shared" ca="1" si="7"/>
        <v>5.5</v>
      </c>
    </row>
    <row r="225" spans="1:14" x14ac:dyDescent="0.3">
      <c r="A225" s="5" t="s">
        <v>1860</v>
      </c>
      <c r="B225" s="9" t="s">
        <v>1861</v>
      </c>
      <c r="C225" s="9" t="s">
        <v>91</v>
      </c>
      <c r="D225" s="9" t="s">
        <v>24</v>
      </c>
      <c r="E225" s="9" t="s">
        <v>31</v>
      </c>
      <c r="F225" s="9" t="s">
        <v>35</v>
      </c>
      <c r="G225" s="9" t="s">
        <v>73</v>
      </c>
      <c r="H225" s="5">
        <v>46</v>
      </c>
      <c r="I225" s="6">
        <v>42129</v>
      </c>
      <c r="J225" s="7">
        <v>64364</v>
      </c>
      <c r="K225" s="9" t="s">
        <v>1717</v>
      </c>
      <c r="L225" s="9" t="s">
        <v>1736</v>
      </c>
      <c r="M225">
        <f t="shared" ca="1" si="6"/>
        <v>10</v>
      </c>
      <c r="N225">
        <f t="shared" ca="1" si="7"/>
        <v>5.5</v>
      </c>
    </row>
    <row r="226" spans="1:14" x14ac:dyDescent="0.3">
      <c r="A226" s="5" t="s">
        <v>793</v>
      </c>
      <c r="B226" s="9" t="s">
        <v>794</v>
      </c>
      <c r="C226" s="9" t="s">
        <v>14</v>
      </c>
      <c r="D226" s="9" t="s">
        <v>56</v>
      </c>
      <c r="E226" s="9" t="s">
        <v>16</v>
      </c>
      <c r="F226" s="9" t="s">
        <v>17</v>
      </c>
      <c r="G226" s="9" t="s">
        <v>36</v>
      </c>
      <c r="H226" s="5">
        <v>52</v>
      </c>
      <c r="I226" s="6">
        <v>42983</v>
      </c>
      <c r="J226" s="7">
        <v>140042</v>
      </c>
      <c r="K226" s="9" t="s">
        <v>19</v>
      </c>
      <c r="L226" s="9" t="s">
        <v>51</v>
      </c>
      <c r="M226">
        <f t="shared" ca="1" si="6"/>
        <v>8</v>
      </c>
      <c r="N226">
        <f t="shared" ca="1" si="7"/>
        <v>5.5</v>
      </c>
    </row>
    <row r="227" spans="1:14" x14ac:dyDescent="0.3">
      <c r="A227" s="5" t="s">
        <v>563</v>
      </c>
      <c r="B227" s="9" t="s">
        <v>564</v>
      </c>
      <c r="C227" s="9" t="s">
        <v>91</v>
      </c>
      <c r="D227" s="9" t="s">
        <v>50</v>
      </c>
      <c r="E227" s="9" t="s">
        <v>31</v>
      </c>
      <c r="F227" s="9" t="s">
        <v>35</v>
      </c>
      <c r="G227" s="9" t="s">
        <v>26</v>
      </c>
      <c r="H227" s="5">
        <v>43</v>
      </c>
      <c r="I227" s="6">
        <v>43028</v>
      </c>
      <c r="J227" s="7">
        <v>56555</v>
      </c>
      <c r="K227" s="9" t="s">
        <v>19</v>
      </c>
      <c r="L227" s="9" t="s">
        <v>37</v>
      </c>
      <c r="M227">
        <f t="shared" ca="1" si="6"/>
        <v>8</v>
      </c>
      <c r="N227">
        <f t="shared" ca="1" si="7"/>
        <v>5.5</v>
      </c>
    </row>
    <row r="228" spans="1:14" x14ac:dyDescent="0.3">
      <c r="A228" s="5" t="s">
        <v>779</v>
      </c>
      <c r="B228" s="9" t="s">
        <v>780</v>
      </c>
      <c r="C228" s="9" t="s">
        <v>116</v>
      </c>
      <c r="D228" s="9" t="s">
        <v>60</v>
      </c>
      <c r="E228" s="9" t="s">
        <v>16</v>
      </c>
      <c r="F228" s="9" t="s">
        <v>35</v>
      </c>
      <c r="G228" s="9" t="s">
        <v>36</v>
      </c>
      <c r="H228" s="5">
        <v>59</v>
      </c>
      <c r="I228" s="6">
        <v>40170</v>
      </c>
      <c r="J228" s="7">
        <v>78006</v>
      </c>
      <c r="K228" s="9" t="s">
        <v>19</v>
      </c>
      <c r="L228" s="9" t="s">
        <v>45</v>
      </c>
      <c r="M228">
        <f t="shared" ca="1" si="6"/>
        <v>15</v>
      </c>
      <c r="N228">
        <f t="shared" ca="1" si="7"/>
        <v>8</v>
      </c>
    </row>
    <row r="229" spans="1:14" x14ac:dyDescent="0.3">
      <c r="A229" s="5" t="s">
        <v>779</v>
      </c>
      <c r="B229" s="9" t="s">
        <v>1069</v>
      </c>
      <c r="C229" s="9" t="s">
        <v>23</v>
      </c>
      <c r="D229" s="9" t="s">
        <v>79</v>
      </c>
      <c r="E229" s="9" t="s">
        <v>16</v>
      </c>
      <c r="F229" s="9" t="s">
        <v>35</v>
      </c>
      <c r="G229" s="9" t="s">
        <v>36</v>
      </c>
      <c r="H229" s="5">
        <v>49</v>
      </c>
      <c r="I229" s="6">
        <v>37092</v>
      </c>
      <c r="J229" s="7">
        <v>199176</v>
      </c>
      <c r="K229" s="9" t="s">
        <v>19</v>
      </c>
      <c r="L229" s="9" t="s">
        <v>37</v>
      </c>
      <c r="M229">
        <f t="shared" ca="1" si="6"/>
        <v>24</v>
      </c>
      <c r="N229">
        <f t="shared" ca="1" si="7"/>
        <v>9.5</v>
      </c>
    </row>
    <row r="230" spans="1:14" x14ac:dyDescent="0.3">
      <c r="A230" s="5" t="s">
        <v>407</v>
      </c>
      <c r="B230" s="9" t="s">
        <v>408</v>
      </c>
      <c r="C230" s="9" t="s">
        <v>196</v>
      </c>
      <c r="D230" s="9" t="s">
        <v>60</v>
      </c>
      <c r="E230" s="9" t="s">
        <v>31</v>
      </c>
      <c r="F230" s="9" t="s">
        <v>35</v>
      </c>
      <c r="G230" s="9" t="s">
        <v>18</v>
      </c>
      <c r="H230" s="5">
        <v>40</v>
      </c>
      <c r="I230" s="6">
        <v>38540</v>
      </c>
      <c r="J230" s="7">
        <v>74412</v>
      </c>
      <c r="K230" s="9" t="s">
        <v>19</v>
      </c>
      <c r="L230" s="9" t="s">
        <v>20</v>
      </c>
      <c r="M230">
        <f t="shared" ca="1" si="6"/>
        <v>20</v>
      </c>
      <c r="N230">
        <f t="shared" ca="1" si="7"/>
        <v>9.5</v>
      </c>
    </row>
    <row r="231" spans="1:14" x14ac:dyDescent="0.3">
      <c r="A231" s="5" t="s">
        <v>1366</v>
      </c>
      <c r="B231" s="9" t="s">
        <v>1367</v>
      </c>
      <c r="C231" s="9" t="s">
        <v>67</v>
      </c>
      <c r="D231" s="9" t="s">
        <v>24</v>
      </c>
      <c r="E231" s="9" t="s">
        <v>41</v>
      </c>
      <c r="F231" s="9" t="s">
        <v>17</v>
      </c>
      <c r="G231" s="9" t="s">
        <v>36</v>
      </c>
      <c r="H231" s="5">
        <v>37</v>
      </c>
      <c r="I231" s="6">
        <v>40883</v>
      </c>
      <c r="J231" s="7">
        <v>225558</v>
      </c>
      <c r="K231" s="9" t="s">
        <v>1310</v>
      </c>
      <c r="L231" s="9" t="s">
        <v>1316</v>
      </c>
      <c r="M231">
        <f t="shared" ca="1" si="6"/>
        <v>13</v>
      </c>
      <c r="N231">
        <f t="shared" ca="1" si="7"/>
        <v>8</v>
      </c>
    </row>
    <row r="232" spans="1:14" x14ac:dyDescent="0.3">
      <c r="A232" s="5" t="s">
        <v>703</v>
      </c>
      <c r="B232" s="9" t="s">
        <v>704</v>
      </c>
      <c r="C232" s="9" t="s">
        <v>577</v>
      </c>
      <c r="D232" s="9" t="s">
        <v>15</v>
      </c>
      <c r="E232" s="9" t="s">
        <v>16</v>
      </c>
      <c r="F232" s="9" t="s">
        <v>17</v>
      </c>
      <c r="G232" s="9" t="s">
        <v>73</v>
      </c>
      <c r="H232" s="5">
        <v>55</v>
      </c>
      <c r="I232" s="6">
        <v>34576</v>
      </c>
      <c r="J232" s="7">
        <v>73955</v>
      </c>
      <c r="K232" s="9" t="s">
        <v>19</v>
      </c>
      <c r="L232" s="9" t="s">
        <v>37</v>
      </c>
      <c r="M232">
        <f t="shared" ca="1" si="6"/>
        <v>31</v>
      </c>
      <c r="N232">
        <f t="shared" ca="1" si="7"/>
        <v>15</v>
      </c>
    </row>
    <row r="233" spans="1:14" x14ac:dyDescent="0.3">
      <c r="A233" s="5" t="s">
        <v>1151</v>
      </c>
      <c r="B233" s="9" t="s">
        <v>1152</v>
      </c>
      <c r="C233" s="9" t="s">
        <v>40</v>
      </c>
      <c r="D233" s="9" t="s">
        <v>68</v>
      </c>
      <c r="E233" s="9" t="s">
        <v>31</v>
      </c>
      <c r="F233" s="9" t="s">
        <v>17</v>
      </c>
      <c r="G233" s="9" t="s">
        <v>73</v>
      </c>
      <c r="H233" s="5">
        <v>65</v>
      </c>
      <c r="I233" s="6">
        <v>38967</v>
      </c>
      <c r="J233" s="7">
        <v>127626</v>
      </c>
      <c r="K233" s="9" t="s">
        <v>19</v>
      </c>
      <c r="L233" s="9" t="s">
        <v>45</v>
      </c>
      <c r="M233">
        <f t="shared" ca="1" si="6"/>
        <v>19</v>
      </c>
      <c r="N233">
        <f t="shared" ca="1" si="7"/>
        <v>9.5</v>
      </c>
    </row>
    <row r="234" spans="1:14" x14ac:dyDescent="0.3">
      <c r="A234" s="5" t="s">
        <v>1130</v>
      </c>
      <c r="B234" s="9" t="s">
        <v>1131</v>
      </c>
      <c r="C234" s="9" t="s">
        <v>14</v>
      </c>
      <c r="D234" s="9" t="s">
        <v>56</v>
      </c>
      <c r="E234" s="9" t="s">
        <v>41</v>
      </c>
      <c r="F234" s="9" t="s">
        <v>35</v>
      </c>
      <c r="G234" s="9" t="s">
        <v>36</v>
      </c>
      <c r="H234" s="5">
        <v>45</v>
      </c>
      <c r="I234" s="6">
        <v>40305</v>
      </c>
      <c r="J234" s="7">
        <v>145093</v>
      </c>
      <c r="K234" s="9" t="s">
        <v>19</v>
      </c>
      <c r="L234" s="9" t="s">
        <v>27</v>
      </c>
      <c r="M234">
        <f t="shared" ca="1" si="6"/>
        <v>15</v>
      </c>
      <c r="N234">
        <f t="shared" ca="1" si="7"/>
        <v>8</v>
      </c>
    </row>
    <row r="235" spans="1:14" x14ac:dyDescent="0.3">
      <c r="A235" s="5" t="s">
        <v>1449</v>
      </c>
      <c r="B235" s="9" t="s">
        <v>1450</v>
      </c>
      <c r="C235" s="9" t="s">
        <v>14</v>
      </c>
      <c r="D235" s="9" t="s">
        <v>79</v>
      </c>
      <c r="E235" s="9" t="s">
        <v>31</v>
      </c>
      <c r="F235" s="9" t="s">
        <v>35</v>
      </c>
      <c r="G235" s="9" t="s">
        <v>36</v>
      </c>
      <c r="H235" s="5">
        <v>45</v>
      </c>
      <c r="I235" s="6">
        <v>39332</v>
      </c>
      <c r="J235" s="7">
        <v>151027</v>
      </c>
      <c r="K235" s="9" t="s">
        <v>1310</v>
      </c>
      <c r="L235" s="9" t="s">
        <v>1316</v>
      </c>
      <c r="M235">
        <f t="shared" ca="1" si="6"/>
        <v>18</v>
      </c>
      <c r="N235">
        <f t="shared" ca="1" si="7"/>
        <v>9.5</v>
      </c>
    </row>
    <row r="236" spans="1:14" x14ac:dyDescent="0.3">
      <c r="A236" s="5" t="s">
        <v>598</v>
      </c>
      <c r="B236" s="9" t="s">
        <v>599</v>
      </c>
      <c r="C236" s="9" t="s">
        <v>40</v>
      </c>
      <c r="D236" s="9" t="s">
        <v>56</v>
      </c>
      <c r="E236" s="9" t="s">
        <v>31</v>
      </c>
      <c r="F236" s="9" t="s">
        <v>35</v>
      </c>
      <c r="G236" s="9" t="s">
        <v>36</v>
      </c>
      <c r="H236" s="5">
        <v>42</v>
      </c>
      <c r="I236" s="6">
        <v>40159</v>
      </c>
      <c r="J236" s="7">
        <v>114242</v>
      </c>
      <c r="K236" s="9" t="s">
        <v>19</v>
      </c>
      <c r="L236" s="9" t="s">
        <v>37</v>
      </c>
      <c r="M236">
        <f t="shared" ca="1" si="6"/>
        <v>15</v>
      </c>
      <c r="N236">
        <f t="shared" ca="1" si="7"/>
        <v>8</v>
      </c>
    </row>
    <row r="237" spans="1:14" x14ac:dyDescent="0.3">
      <c r="A237" s="5" t="s">
        <v>854</v>
      </c>
      <c r="B237" s="9" t="s">
        <v>855</v>
      </c>
      <c r="C237" s="9" t="s">
        <v>23</v>
      </c>
      <c r="D237" s="9" t="s">
        <v>50</v>
      </c>
      <c r="E237" s="9" t="s">
        <v>41</v>
      </c>
      <c r="F237" s="9" t="s">
        <v>17</v>
      </c>
      <c r="G237" s="9" t="s">
        <v>26</v>
      </c>
      <c r="H237" s="5">
        <v>27</v>
      </c>
      <c r="I237" s="6">
        <v>44393</v>
      </c>
      <c r="J237" s="7">
        <v>161759</v>
      </c>
      <c r="K237" s="9" t="s">
        <v>19</v>
      </c>
      <c r="L237" s="9" t="s">
        <v>45</v>
      </c>
      <c r="M237">
        <f t="shared" ca="1" si="6"/>
        <v>4</v>
      </c>
      <c r="N237">
        <f t="shared" ca="1" si="7"/>
        <v>3</v>
      </c>
    </row>
    <row r="238" spans="1:14" x14ac:dyDescent="0.3">
      <c r="A238" s="5" t="s">
        <v>1676</v>
      </c>
      <c r="B238" s="9" t="s">
        <v>1677</v>
      </c>
      <c r="C238" s="9" t="s">
        <v>178</v>
      </c>
      <c r="D238" s="9" t="s">
        <v>15</v>
      </c>
      <c r="E238" s="9" t="s">
        <v>31</v>
      </c>
      <c r="F238" s="9" t="s">
        <v>35</v>
      </c>
      <c r="G238" s="9" t="s">
        <v>36</v>
      </c>
      <c r="H238" s="5">
        <v>34</v>
      </c>
      <c r="I238" s="6">
        <v>43414</v>
      </c>
      <c r="J238" s="7">
        <v>61944</v>
      </c>
      <c r="K238" s="9" t="s">
        <v>1310</v>
      </c>
      <c r="L238" s="9" t="s">
        <v>1316</v>
      </c>
      <c r="M238">
        <f t="shared" ca="1" si="6"/>
        <v>7</v>
      </c>
      <c r="N238">
        <f t="shared" ca="1" si="7"/>
        <v>4</v>
      </c>
    </row>
    <row r="239" spans="1:14" x14ac:dyDescent="0.3">
      <c r="A239" s="5" t="s">
        <v>477</v>
      </c>
      <c r="B239" s="9" t="s">
        <v>478</v>
      </c>
      <c r="C239" s="9" t="s">
        <v>181</v>
      </c>
      <c r="D239" s="9" t="s">
        <v>79</v>
      </c>
      <c r="E239" s="9" t="s">
        <v>31</v>
      </c>
      <c r="F239" s="9" t="s">
        <v>35</v>
      </c>
      <c r="G239" s="9" t="s">
        <v>18</v>
      </c>
      <c r="H239" s="5">
        <v>47</v>
      </c>
      <c r="I239" s="6">
        <v>37550</v>
      </c>
      <c r="J239" s="7">
        <v>70122</v>
      </c>
      <c r="K239" s="9" t="s">
        <v>19</v>
      </c>
      <c r="L239" s="9" t="s">
        <v>76</v>
      </c>
      <c r="M239">
        <f t="shared" ca="1" si="6"/>
        <v>23</v>
      </c>
      <c r="N239">
        <f t="shared" ca="1" si="7"/>
        <v>9.5</v>
      </c>
    </row>
    <row r="240" spans="1:14" x14ac:dyDescent="0.3">
      <c r="A240" s="5" t="s">
        <v>477</v>
      </c>
      <c r="B240" s="9" t="s">
        <v>628</v>
      </c>
      <c r="C240" s="9" t="s">
        <v>30</v>
      </c>
      <c r="D240" s="9" t="s">
        <v>15</v>
      </c>
      <c r="E240" s="9" t="s">
        <v>16</v>
      </c>
      <c r="F240" s="9" t="s">
        <v>17</v>
      </c>
      <c r="G240" s="9" t="s">
        <v>26</v>
      </c>
      <c r="H240" s="5">
        <v>42</v>
      </c>
      <c r="I240" s="6">
        <v>38777</v>
      </c>
      <c r="J240" s="7">
        <v>97433</v>
      </c>
      <c r="K240" s="9" t="s">
        <v>19</v>
      </c>
      <c r="L240" s="9" t="s">
        <v>20</v>
      </c>
      <c r="M240">
        <f t="shared" ca="1" si="6"/>
        <v>19</v>
      </c>
      <c r="N240">
        <f t="shared" ca="1" si="7"/>
        <v>9.5</v>
      </c>
    </row>
    <row r="241" spans="1:14" x14ac:dyDescent="0.3">
      <c r="A241" s="5" t="s">
        <v>269</v>
      </c>
      <c r="B241" s="9" t="s">
        <v>270</v>
      </c>
      <c r="C241" s="9" t="s">
        <v>116</v>
      </c>
      <c r="D241" s="9" t="s">
        <v>60</v>
      </c>
      <c r="E241" s="9" t="s">
        <v>16</v>
      </c>
      <c r="F241" s="9" t="s">
        <v>17</v>
      </c>
      <c r="G241" s="9" t="s">
        <v>18</v>
      </c>
      <c r="H241" s="5">
        <v>27</v>
      </c>
      <c r="I241" s="6">
        <v>44224</v>
      </c>
      <c r="J241" s="7">
        <v>95786</v>
      </c>
      <c r="K241" s="9" t="s">
        <v>19</v>
      </c>
      <c r="L241" s="9" t="s">
        <v>27</v>
      </c>
      <c r="M241">
        <f t="shared" ca="1" si="6"/>
        <v>4</v>
      </c>
      <c r="N241">
        <f t="shared" ca="1" si="7"/>
        <v>3</v>
      </c>
    </row>
    <row r="242" spans="1:14" x14ac:dyDescent="0.3">
      <c r="A242" s="5" t="s">
        <v>1300</v>
      </c>
      <c r="B242" s="9" t="s">
        <v>1301</v>
      </c>
      <c r="C242" s="9" t="s">
        <v>234</v>
      </c>
      <c r="D242" s="9" t="s">
        <v>15</v>
      </c>
      <c r="E242" s="9" t="s">
        <v>41</v>
      </c>
      <c r="F242" s="9" t="s">
        <v>17</v>
      </c>
      <c r="G242" s="9" t="s">
        <v>36</v>
      </c>
      <c r="H242" s="5">
        <v>55</v>
      </c>
      <c r="I242" s="6">
        <v>39820</v>
      </c>
      <c r="J242" s="7">
        <v>47032</v>
      </c>
      <c r="K242" s="9" t="s">
        <v>19</v>
      </c>
      <c r="L242" s="9" t="s">
        <v>76</v>
      </c>
      <c r="M242">
        <f t="shared" ca="1" si="6"/>
        <v>16</v>
      </c>
      <c r="N242">
        <f t="shared" ca="1" si="7"/>
        <v>8</v>
      </c>
    </row>
    <row r="243" spans="1:14" x14ac:dyDescent="0.3">
      <c r="A243" s="5" t="s">
        <v>931</v>
      </c>
      <c r="B243" s="9" t="s">
        <v>932</v>
      </c>
      <c r="C243" s="9" t="s">
        <v>34</v>
      </c>
      <c r="D243" s="9" t="s">
        <v>79</v>
      </c>
      <c r="E243" s="9" t="s">
        <v>16</v>
      </c>
      <c r="F243" s="9" t="s">
        <v>17</v>
      </c>
      <c r="G243" s="9" t="s">
        <v>36</v>
      </c>
      <c r="H243" s="5">
        <v>62</v>
      </c>
      <c r="I243" s="6">
        <v>43969</v>
      </c>
      <c r="J243" s="7">
        <v>97830</v>
      </c>
      <c r="K243" s="9" t="s">
        <v>19</v>
      </c>
      <c r="L243" s="9" t="s">
        <v>51</v>
      </c>
      <c r="M243">
        <f t="shared" ca="1" si="6"/>
        <v>5</v>
      </c>
      <c r="N243">
        <f t="shared" ca="1" si="7"/>
        <v>3</v>
      </c>
    </row>
    <row r="244" spans="1:14" x14ac:dyDescent="0.3">
      <c r="A244" s="5" t="s">
        <v>709</v>
      </c>
      <c r="B244" s="9" t="s">
        <v>710</v>
      </c>
      <c r="C244" s="9" t="s">
        <v>133</v>
      </c>
      <c r="D244" s="9" t="s">
        <v>60</v>
      </c>
      <c r="E244" s="9" t="s">
        <v>25</v>
      </c>
      <c r="F244" s="9" t="s">
        <v>17</v>
      </c>
      <c r="G244" s="9" t="s">
        <v>26</v>
      </c>
      <c r="H244" s="5">
        <v>28</v>
      </c>
      <c r="I244" s="6">
        <v>43418</v>
      </c>
      <c r="J244" s="7">
        <v>115854</v>
      </c>
      <c r="K244" s="9" t="s">
        <v>19</v>
      </c>
      <c r="L244" s="9" t="s">
        <v>37</v>
      </c>
      <c r="M244">
        <f t="shared" ca="1" si="6"/>
        <v>7</v>
      </c>
      <c r="N244">
        <f t="shared" ca="1" si="7"/>
        <v>4</v>
      </c>
    </row>
    <row r="245" spans="1:14" x14ac:dyDescent="0.3">
      <c r="A245" s="5" t="s">
        <v>1061</v>
      </c>
      <c r="B245" s="9" t="s">
        <v>1062</v>
      </c>
      <c r="C245" s="9" t="s">
        <v>14</v>
      </c>
      <c r="D245" s="9" t="s">
        <v>56</v>
      </c>
      <c r="E245" s="9" t="s">
        <v>31</v>
      </c>
      <c r="F245" s="9" t="s">
        <v>35</v>
      </c>
      <c r="G245" s="9" t="s">
        <v>26</v>
      </c>
      <c r="H245" s="5">
        <v>42</v>
      </c>
      <c r="I245" s="6">
        <v>41382</v>
      </c>
      <c r="J245" s="7">
        <v>131179</v>
      </c>
      <c r="K245" s="9" t="s">
        <v>19</v>
      </c>
      <c r="L245" s="9" t="s">
        <v>76</v>
      </c>
      <c r="M245">
        <f t="shared" ca="1" si="6"/>
        <v>12</v>
      </c>
      <c r="N245">
        <f t="shared" ca="1" si="7"/>
        <v>8</v>
      </c>
    </row>
    <row r="246" spans="1:14" x14ac:dyDescent="0.3">
      <c r="A246" s="5" t="s">
        <v>1600</v>
      </c>
      <c r="B246" s="9" t="s">
        <v>1601</v>
      </c>
      <c r="C246" s="9" t="s">
        <v>23</v>
      </c>
      <c r="D246" s="9" t="s">
        <v>24</v>
      </c>
      <c r="E246" s="9" t="s">
        <v>16</v>
      </c>
      <c r="F246" s="9" t="s">
        <v>17</v>
      </c>
      <c r="G246" s="9" t="s">
        <v>36</v>
      </c>
      <c r="H246" s="5">
        <v>27</v>
      </c>
      <c r="I246" s="6">
        <v>43977</v>
      </c>
      <c r="J246" s="7">
        <v>153628</v>
      </c>
      <c r="K246" s="9" t="s">
        <v>1310</v>
      </c>
      <c r="L246" s="9" t="s">
        <v>1311</v>
      </c>
      <c r="M246">
        <f t="shared" ca="1" si="6"/>
        <v>5</v>
      </c>
      <c r="N246">
        <f t="shared" ca="1" si="7"/>
        <v>3</v>
      </c>
    </row>
    <row r="247" spans="1:14" x14ac:dyDescent="0.3">
      <c r="A247" s="5" t="s">
        <v>189</v>
      </c>
      <c r="B247" s="9" t="s">
        <v>729</v>
      </c>
      <c r="C247" s="9" t="s">
        <v>91</v>
      </c>
      <c r="D247" s="9" t="s">
        <v>24</v>
      </c>
      <c r="E247" s="9" t="s">
        <v>25</v>
      </c>
      <c r="F247" s="9" t="s">
        <v>17</v>
      </c>
      <c r="G247" s="9" t="s">
        <v>26</v>
      </c>
      <c r="H247" s="5">
        <v>52</v>
      </c>
      <c r="I247" s="6">
        <v>43819</v>
      </c>
      <c r="J247" s="7">
        <v>61026</v>
      </c>
      <c r="K247" s="9" t="s">
        <v>19</v>
      </c>
      <c r="L247" s="9" t="s">
        <v>37</v>
      </c>
      <c r="M247">
        <f t="shared" ca="1" si="6"/>
        <v>5</v>
      </c>
      <c r="N247">
        <f t="shared" ca="1" si="7"/>
        <v>3</v>
      </c>
    </row>
    <row r="248" spans="1:14" x14ac:dyDescent="0.3">
      <c r="A248" s="5" t="s">
        <v>189</v>
      </c>
      <c r="B248" s="9" t="s">
        <v>190</v>
      </c>
      <c r="C248" s="9" t="s">
        <v>191</v>
      </c>
      <c r="D248" s="9" t="s">
        <v>60</v>
      </c>
      <c r="E248" s="9" t="s">
        <v>16</v>
      </c>
      <c r="F248" s="9" t="s">
        <v>17</v>
      </c>
      <c r="G248" s="9" t="s">
        <v>26</v>
      </c>
      <c r="H248" s="5">
        <v>45</v>
      </c>
      <c r="I248" s="6">
        <v>41386</v>
      </c>
      <c r="J248" s="7">
        <v>61773</v>
      </c>
      <c r="K248" s="9" t="s">
        <v>19</v>
      </c>
      <c r="L248" s="9" t="s">
        <v>20</v>
      </c>
      <c r="M248">
        <f t="shared" ca="1" si="6"/>
        <v>12</v>
      </c>
      <c r="N248">
        <f t="shared" ca="1" si="7"/>
        <v>8</v>
      </c>
    </row>
    <row r="249" spans="1:14" x14ac:dyDescent="0.3">
      <c r="A249" s="5" t="s">
        <v>1012</v>
      </c>
      <c r="B249" s="9" t="s">
        <v>1013</v>
      </c>
      <c r="C249" s="9" t="s">
        <v>40</v>
      </c>
      <c r="D249" s="9" t="s">
        <v>56</v>
      </c>
      <c r="E249" s="9" t="s">
        <v>31</v>
      </c>
      <c r="F249" s="9" t="s">
        <v>35</v>
      </c>
      <c r="G249" s="9" t="s">
        <v>26</v>
      </c>
      <c r="H249" s="5">
        <v>64</v>
      </c>
      <c r="I249" s="6">
        <v>33964</v>
      </c>
      <c r="J249" s="7">
        <v>104668</v>
      </c>
      <c r="K249" s="9" t="s">
        <v>19</v>
      </c>
      <c r="L249" s="9" t="s">
        <v>76</v>
      </c>
      <c r="M249">
        <f t="shared" ca="1" si="6"/>
        <v>32</v>
      </c>
      <c r="N249">
        <f t="shared" ca="1" si="7"/>
        <v>15</v>
      </c>
    </row>
    <row r="250" spans="1:14" x14ac:dyDescent="0.3">
      <c r="A250" s="5" t="s">
        <v>367</v>
      </c>
      <c r="B250" s="9" t="s">
        <v>368</v>
      </c>
      <c r="C250" s="9" t="s">
        <v>91</v>
      </c>
      <c r="D250" s="9" t="s">
        <v>79</v>
      </c>
      <c r="E250" s="9" t="s">
        <v>16</v>
      </c>
      <c r="F250" s="9" t="s">
        <v>17</v>
      </c>
      <c r="G250" s="9" t="s">
        <v>73</v>
      </c>
      <c r="H250" s="5">
        <v>48</v>
      </c>
      <c r="I250" s="6">
        <v>41773</v>
      </c>
      <c r="J250" s="7">
        <v>61216</v>
      </c>
      <c r="K250" s="9" t="s">
        <v>19</v>
      </c>
      <c r="L250" s="9" t="s">
        <v>20</v>
      </c>
      <c r="M250">
        <f t="shared" ca="1" si="6"/>
        <v>11</v>
      </c>
      <c r="N250">
        <f t="shared" ca="1" si="7"/>
        <v>5.5</v>
      </c>
    </row>
    <row r="251" spans="1:14" x14ac:dyDescent="0.3">
      <c r="A251" s="5" t="s">
        <v>1680</v>
      </c>
      <c r="B251" s="9" t="s">
        <v>1681</v>
      </c>
      <c r="C251" s="9" t="s">
        <v>40</v>
      </c>
      <c r="D251" s="9" t="s">
        <v>79</v>
      </c>
      <c r="E251" s="9" t="s">
        <v>16</v>
      </c>
      <c r="F251" s="9" t="s">
        <v>35</v>
      </c>
      <c r="G251" s="9" t="s">
        <v>36</v>
      </c>
      <c r="H251" s="5">
        <v>49</v>
      </c>
      <c r="I251" s="6">
        <v>41131</v>
      </c>
      <c r="J251" s="7">
        <v>109850</v>
      </c>
      <c r="K251" s="9" t="s">
        <v>1310</v>
      </c>
      <c r="L251" s="9" t="s">
        <v>1323</v>
      </c>
      <c r="M251">
        <f t="shared" ca="1" si="6"/>
        <v>13</v>
      </c>
      <c r="N251">
        <f t="shared" ca="1" si="7"/>
        <v>8</v>
      </c>
    </row>
    <row r="252" spans="1:14" x14ac:dyDescent="0.3">
      <c r="A252" s="5" t="s">
        <v>397</v>
      </c>
      <c r="B252" s="9" t="s">
        <v>398</v>
      </c>
      <c r="C252" s="9" t="s">
        <v>67</v>
      </c>
      <c r="D252" s="9" t="s">
        <v>56</v>
      </c>
      <c r="E252" s="9" t="s">
        <v>16</v>
      </c>
      <c r="F252" s="9" t="s">
        <v>17</v>
      </c>
      <c r="G252" s="9" t="s">
        <v>18</v>
      </c>
      <c r="H252" s="5">
        <v>34</v>
      </c>
      <c r="I252" s="6">
        <v>43673</v>
      </c>
      <c r="J252" s="7">
        <v>220937</v>
      </c>
      <c r="K252" s="9" t="s">
        <v>19</v>
      </c>
      <c r="L252" s="9" t="s">
        <v>51</v>
      </c>
      <c r="M252">
        <f t="shared" ca="1" si="6"/>
        <v>6</v>
      </c>
      <c r="N252">
        <f t="shared" ca="1" si="7"/>
        <v>4</v>
      </c>
    </row>
    <row r="253" spans="1:14" x14ac:dyDescent="0.3">
      <c r="A253" s="5" t="s">
        <v>1345</v>
      </c>
      <c r="B253" s="9" t="s">
        <v>1346</v>
      </c>
      <c r="C253" s="9" t="s">
        <v>23</v>
      </c>
      <c r="D253" s="9" t="s">
        <v>56</v>
      </c>
      <c r="E253" s="9" t="s">
        <v>31</v>
      </c>
      <c r="F253" s="9" t="s">
        <v>35</v>
      </c>
      <c r="G253" s="9" t="s">
        <v>36</v>
      </c>
      <c r="H253" s="5">
        <v>42</v>
      </c>
      <c r="I253" s="6">
        <v>41655</v>
      </c>
      <c r="J253" s="7">
        <v>152214</v>
      </c>
      <c r="K253" s="9" t="s">
        <v>1310</v>
      </c>
      <c r="L253" s="9" t="s">
        <v>1323</v>
      </c>
      <c r="M253">
        <f t="shared" ca="1" si="6"/>
        <v>11</v>
      </c>
      <c r="N253">
        <f t="shared" ca="1" si="7"/>
        <v>5.5</v>
      </c>
    </row>
    <row r="254" spans="1:14" x14ac:dyDescent="0.3">
      <c r="A254" s="5" t="s">
        <v>596</v>
      </c>
      <c r="B254" s="9" t="s">
        <v>597</v>
      </c>
      <c r="C254" s="9" t="s">
        <v>23</v>
      </c>
      <c r="D254" s="9" t="s">
        <v>79</v>
      </c>
      <c r="E254" s="9" t="s">
        <v>31</v>
      </c>
      <c r="F254" s="9" t="s">
        <v>17</v>
      </c>
      <c r="G254" s="9" t="s">
        <v>26</v>
      </c>
      <c r="H254" s="5">
        <v>55</v>
      </c>
      <c r="I254" s="6">
        <v>35001</v>
      </c>
      <c r="J254" s="7">
        <v>153271</v>
      </c>
      <c r="K254" s="9" t="s">
        <v>19</v>
      </c>
      <c r="L254" s="9" t="s">
        <v>51</v>
      </c>
      <c r="M254">
        <f t="shared" ca="1" si="6"/>
        <v>30</v>
      </c>
      <c r="N254">
        <f t="shared" ca="1" si="7"/>
        <v>15</v>
      </c>
    </row>
    <row r="255" spans="1:14" x14ac:dyDescent="0.3">
      <c r="A255" s="5" t="s">
        <v>1829</v>
      </c>
      <c r="B255" s="9" t="s">
        <v>1830</v>
      </c>
      <c r="C255" s="9" t="s">
        <v>14</v>
      </c>
      <c r="D255" s="9" t="s">
        <v>15</v>
      </c>
      <c r="E255" s="9" t="s">
        <v>16</v>
      </c>
      <c r="F255" s="9" t="s">
        <v>17</v>
      </c>
      <c r="G255" s="9" t="s">
        <v>73</v>
      </c>
      <c r="H255" s="5">
        <v>49</v>
      </c>
      <c r="I255" s="6">
        <v>38000</v>
      </c>
      <c r="J255" s="7">
        <v>125086</v>
      </c>
      <c r="K255" s="9" t="s">
        <v>1717</v>
      </c>
      <c r="L255" s="9" t="s">
        <v>1736</v>
      </c>
      <c r="M255">
        <f t="shared" ca="1" si="6"/>
        <v>21</v>
      </c>
      <c r="N255">
        <f t="shared" ca="1" si="7"/>
        <v>9.5</v>
      </c>
    </row>
    <row r="256" spans="1:14" x14ac:dyDescent="0.3">
      <c r="A256" s="5" t="s">
        <v>1657</v>
      </c>
      <c r="B256" s="9" t="s">
        <v>1658</v>
      </c>
      <c r="C256" s="9" t="s">
        <v>59</v>
      </c>
      <c r="D256" s="9" t="s">
        <v>60</v>
      </c>
      <c r="E256" s="9" t="s">
        <v>41</v>
      </c>
      <c r="F256" s="9" t="s">
        <v>17</v>
      </c>
      <c r="G256" s="9" t="s">
        <v>36</v>
      </c>
      <c r="H256" s="5">
        <v>25</v>
      </c>
      <c r="I256" s="6">
        <v>44370</v>
      </c>
      <c r="J256" s="7">
        <v>86464</v>
      </c>
      <c r="K256" s="9" t="s">
        <v>1310</v>
      </c>
      <c r="L256" s="9" t="s">
        <v>1316</v>
      </c>
      <c r="M256">
        <f t="shared" ca="1" si="6"/>
        <v>4</v>
      </c>
      <c r="N256">
        <f t="shared" ca="1" si="7"/>
        <v>3</v>
      </c>
    </row>
    <row r="257" spans="1:14" x14ac:dyDescent="0.3">
      <c r="A257" s="5" t="s">
        <v>153</v>
      </c>
      <c r="B257" s="9" t="s">
        <v>154</v>
      </c>
      <c r="C257" s="9" t="s">
        <v>67</v>
      </c>
      <c r="D257" s="9" t="s">
        <v>15</v>
      </c>
      <c r="E257" s="9" t="s">
        <v>25</v>
      </c>
      <c r="F257" s="9" t="s">
        <v>17</v>
      </c>
      <c r="G257" s="9" t="s">
        <v>73</v>
      </c>
      <c r="H257" s="5">
        <v>43</v>
      </c>
      <c r="I257" s="6">
        <v>40029</v>
      </c>
      <c r="J257" s="7">
        <v>208415</v>
      </c>
      <c r="K257" s="9" t="s">
        <v>19</v>
      </c>
      <c r="L257" s="9" t="s">
        <v>20</v>
      </c>
      <c r="M257">
        <f t="shared" ca="1" si="6"/>
        <v>16</v>
      </c>
      <c r="N257">
        <f t="shared" ca="1" si="7"/>
        <v>8</v>
      </c>
    </row>
    <row r="258" spans="1:14" x14ac:dyDescent="0.3">
      <c r="A258" s="5" t="s">
        <v>153</v>
      </c>
      <c r="B258" s="9" t="s">
        <v>998</v>
      </c>
      <c r="C258" s="9" t="s">
        <v>67</v>
      </c>
      <c r="D258" s="9" t="s">
        <v>50</v>
      </c>
      <c r="E258" s="9" t="s">
        <v>25</v>
      </c>
      <c r="F258" s="9" t="s">
        <v>35</v>
      </c>
      <c r="G258" s="9" t="s">
        <v>26</v>
      </c>
      <c r="H258" s="5">
        <v>41</v>
      </c>
      <c r="I258" s="6">
        <v>41503</v>
      </c>
      <c r="J258" s="7">
        <v>235619</v>
      </c>
      <c r="K258" s="9" t="s">
        <v>19</v>
      </c>
      <c r="L258" s="9" t="s">
        <v>20</v>
      </c>
      <c r="M258">
        <f t="shared" ca="1" si="6"/>
        <v>12</v>
      </c>
      <c r="N258">
        <f t="shared" ca="1" si="7"/>
        <v>8</v>
      </c>
    </row>
    <row r="259" spans="1:14" x14ac:dyDescent="0.3">
      <c r="A259" s="5" t="s">
        <v>176</v>
      </c>
      <c r="B259" s="9" t="s">
        <v>177</v>
      </c>
      <c r="C259" s="9" t="s">
        <v>178</v>
      </c>
      <c r="D259" s="9" t="s">
        <v>15</v>
      </c>
      <c r="E259" s="9" t="s">
        <v>31</v>
      </c>
      <c r="F259" s="9" t="s">
        <v>35</v>
      </c>
      <c r="G259" s="9" t="s">
        <v>26</v>
      </c>
      <c r="H259" s="5">
        <v>29</v>
      </c>
      <c r="I259" s="6">
        <v>43444</v>
      </c>
      <c r="J259" s="7">
        <v>84596</v>
      </c>
      <c r="K259" s="9" t="s">
        <v>19</v>
      </c>
      <c r="L259" s="9" t="s">
        <v>45</v>
      </c>
      <c r="M259">
        <f t="shared" ref="M259:M322" ca="1" si="8">DATEDIF(I259,TODAY(),"Y")</f>
        <v>6</v>
      </c>
      <c r="N259">
        <f t="shared" ref="N259:N322" ca="1" si="9">_xlfn.XLOOKUP(M259,$Q$3:$Q$11,$R$3:$R$11,0,-1)</f>
        <v>4</v>
      </c>
    </row>
    <row r="260" spans="1:14" x14ac:dyDescent="0.3">
      <c r="A260" s="5" t="s">
        <v>197</v>
      </c>
      <c r="B260" s="9" t="s">
        <v>198</v>
      </c>
      <c r="C260" s="9" t="s">
        <v>91</v>
      </c>
      <c r="D260" s="9" t="s">
        <v>50</v>
      </c>
      <c r="E260" s="9" t="s">
        <v>25</v>
      </c>
      <c r="F260" s="9" t="s">
        <v>35</v>
      </c>
      <c r="G260" s="9" t="s">
        <v>26</v>
      </c>
      <c r="H260" s="5">
        <v>55</v>
      </c>
      <c r="I260" s="6">
        <v>39177</v>
      </c>
      <c r="J260" s="7">
        <v>52310</v>
      </c>
      <c r="K260" s="9" t="s">
        <v>19</v>
      </c>
      <c r="L260" s="9" t="s">
        <v>45</v>
      </c>
      <c r="M260">
        <f t="shared" ca="1" si="8"/>
        <v>18</v>
      </c>
      <c r="N260">
        <f t="shared" ca="1" si="9"/>
        <v>9.5</v>
      </c>
    </row>
    <row r="261" spans="1:14" x14ac:dyDescent="0.3">
      <c r="A261" s="5" t="s">
        <v>1540</v>
      </c>
      <c r="B261" s="9" t="s">
        <v>418</v>
      </c>
      <c r="C261" s="9" t="s">
        <v>40</v>
      </c>
      <c r="D261" s="9" t="s">
        <v>24</v>
      </c>
      <c r="E261" s="9" t="s">
        <v>31</v>
      </c>
      <c r="F261" s="9" t="s">
        <v>35</v>
      </c>
      <c r="G261" s="9" t="s">
        <v>36</v>
      </c>
      <c r="H261" s="5">
        <v>50</v>
      </c>
      <c r="I261" s="6">
        <v>43239</v>
      </c>
      <c r="J261" s="7">
        <v>106437</v>
      </c>
      <c r="K261" s="9" t="s">
        <v>1310</v>
      </c>
      <c r="L261" s="9" t="s">
        <v>1311</v>
      </c>
      <c r="M261">
        <f t="shared" ca="1" si="8"/>
        <v>7</v>
      </c>
      <c r="N261">
        <f t="shared" ca="1" si="9"/>
        <v>4</v>
      </c>
    </row>
    <row r="262" spans="1:14" x14ac:dyDescent="0.3">
      <c r="A262" s="5" t="s">
        <v>371</v>
      </c>
      <c r="B262" s="9" t="s">
        <v>372</v>
      </c>
      <c r="C262" s="9" t="s">
        <v>191</v>
      </c>
      <c r="D262" s="9" t="s">
        <v>60</v>
      </c>
      <c r="E262" s="9" t="s">
        <v>31</v>
      </c>
      <c r="F262" s="9" t="s">
        <v>35</v>
      </c>
      <c r="G262" s="9" t="s">
        <v>73</v>
      </c>
      <c r="H262" s="5">
        <v>36</v>
      </c>
      <c r="I262" s="6">
        <v>39912</v>
      </c>
      <c r="J262" s="7">
        <v>60055</v>
      </c>
      <c r="K262" s="9" t="s">
        <v>19</v>
      </c>
      <c r="L262" s="9" t="s">
        <v>20</v>
      </c>
      <c r="M262">
        <f t="shared" ca="1" si="8"/>
        <v>16</v>
      </c>
      <c r="N262">
        <f t="shared" ca="1" si="9"/>
        <v>8</v>
      </c>
    </row>
    <row r="263" spans="1:14" x14ac:dyDescent="0.3">
      <c r="A263" s="5" t="s">
        <v>1953</v>
      </c>
      <c r="B263" s="9" t="s">
        <v>1954</v>
      </c>
      <c r="C263" s="9" t="s">
        <v>139</v>
      </c>
      <c r="D263" s="9" t="s">
        <v>56</v>
      </c>
      <c r="E263" s="9" t="s">
        <v>16</v>
      </c>
      <c r="F263" s="9" t="s">
        <v>17</v>
      </c>
      <c r="G263" s="9" t="s">
        <v>73</v>
      </c>
      <c r="H263" s="5">
        <v>62</v>
      </c>
      <c r="I263" s="6">
        <v>41748</v>
      </c>
      <c r="J263" s="7">
        <v>45295</v>
      </c>
      <c r="K263" s="9" t="s">
        <v>1717</v>
      </c>
      <c r="L263" s="9" t="s">
        <v>1736</v>
      </c>
      <c r="M263">
        <f t="shared" ca="1" si="8"/>
        <v>11</v>
      </c>
      <c r="N263">
        <f t="shared" ca="1" si="9"/>
        <v>5.5</v>
      </c>
    </row>
    <row r="264" spans="1:14" x14ac:dyDescent="0.3">
      <c r="A264" s="5" t="s">
        <v>1626</v>
      </c>
      <c r="B264" s="9" t="s">
        <v>1627</v>
      </c>
      <c r="C264" s="9" t="s">
        <v>184</v>
      </c>
      <c r="D264" s="9" t="s">
        <v>56</v>
      </c>
      <c r="E264" s="9" t="s">
        <v>31</v>
      </c>
      <c r="F264" s="9" t="s">
        <v>17</v>
      </c>
      <c r="G264" s="9" t="s">
        <v>36</v>
      </c>
      <c r="H264" s="5">
        <v>63</v>
      </c>
      <c r="I264" s="6">
        <v>39204</v>
      </c>
      <c r="J264" s="7">
        <v>72805</v>
      </c>
      <c r="K264" s="9" t="s">
        <v>1310</v>
      </c>
      <c r="L264" s="9" t="s">
        <v>1316</v>
      </c>
      <c r="M264">
        <f t="shared" ca="1" si="8"/>
        <v>18</v>
      </c>
      <c r="N264">
        <f t="shared" ca="1" si="9"/>
        <v>9.5</v>
      </c>
    </row>
    <row r="265" spans="1:14" x14ac:dyDescent="0.3">
      <c r="A265" s="5" t="s">
        <v>1786</v>
      </c>
      <c r="B265" s="9" t="s">
        <v>1787</v>
      </c>
      <c r="C265" s="9" t="s">
        <v>23</v>
      </c>
      <c r="D265" s="9" t="s">
        <v>60</v>
      </c>
      <c r="E265" s="9" t="s">
        <v>25</v>
      </c>
      <c r="F265" s="9" t="s">
        <v>35</v>
      </c>
      <c r="G265" s="9" t="s">
        <v>73</v>
      </c>
      <c r="H265" s="5">
        <v>64</v>
      </c>
      <c r="I265" s="6">
        <v>42972</v>
      </c>
      <c r="J265" s="7">
        <v>169509</v>
      </c>
      <c r="K265" s="9" t="s">
        <v>1717</v>
      </c>
      <c r="L265" s="9" t="s">
        <v>1718</v>
      </c>
      <c r="M265">
        <f t="shared" ca="1" si="8"/>
        <v>8</v>
      </c>
      <c r="N265">
        <f t="shared" ca="1" si="9"/>
        <v>5.5</v>
      </c>
    </row>
    <row r="266" spans="1:14" x14ac:dyDescent="0.3">
      <c r="A266" s="5" t="s">
        <v>458</v>
      </c>
      <c r="B266" s="9" t="s">
        <v>459</v>
      </c>
      <c r="C266" s="9" t="s">
        <v>253</v>
      </c>
      <c r="D266" s="9" t="s">
        <v>15</v>
      </c>
      <c r="E266" s="9" t="s">
        <v>25</v>
      </c>
      <c r="F266" s="9" t="s">
        <v>35</v>
      </c>
      <c r="G266" s="9" t="s">
        <v>18</v>
      </c>
      <c r="H266" s="5">
        <v>46</v>
      </c>
      <c r="I266" s="6">
        <v>38513</v>
      </c>
      <c r="J266" s="7">
        <v>67374</v>
      </c>
      <c r="K266" s="9" t="s">
        <v>19</v>
      </c>
      <c r="L266" s="9" t="s">
        <v>51</v>
      </c>
      <c r="M266">
        <f t="shared" ca="1" si="8"/>
        <v>20</v>
      </c>
      <c r="N266">
        <f t="shared" ca="1" si="9"/>
        <v>9.5</v>
      </c>
    </row>
    <row r="267" spans="1:14" x14ac:dyDescent="0.3">
      <c r="A267" s="5" t="s">
        <v>335</v>
      </c>
      <c r="B267" s="9" t="s">
        <v>336</v>
      </c>
      <c r="C267" s="9" t="s">
        <v>196</v>
      </c>
      <c r="D267" s="9" t="s">
        <v>60</v>
      </c>
      <c r="E267" s="9" t="s">
        <v>16</v>
      </c>
      <c r="F267" s="9" t="s">
        <v>35</v>
      </c>
      <c r="G267" s="9" t="s">
        <v>73</v>
      </c>
      <c r="H267" s="5">
        <v>47</v>
      </c>
      <c r="I267" s="6">
        <v>35990</v>
      </c>
      <c r="J267" s="7">
        <v>99091</v>
      </c>
      <c r="K267" s="9" t="s">
        <v>19</v>
      </c>
      <c r="L267" s="9" t="s">
        <v>51</v>
      </c>
      <c r="M267">
        <f t="shared" ca="1" si="8"/>
        <v>27</v>
      </c>
      <c r="N267">
        <f t="shared" ca="1" si="9"/>
        <v>10</v>
      </c>
    </row>
    <row r="268" spans="1:14" x14ac:dyDescent="0.3">
      <c r="A268" s="5" t="s">
        <v>335</v>
      </c>
      <c r="B268" s="9" t="s">
        <v>1049</v>
      </c>
      <c r="C268" s="9" t="s">
        <v>184</v>
      </c>
      <c r="D268" s="9" t="s">
        <v>56</v>
      </c>
      <c r="E268" s="9" t="s">
        <v>41</v>
      </c>
      <c r="F268" s="9" t="s">
        <v>35</v>
      </c>
      <c r="G268" s="9" t="s">
        <v>26</v>
      </c>
      <c r="H268" s="5">
        <v>46</v>
      </c>
      <c r="I268" s="6">
        <v>39133</v>
      </c>
      <c r="J268" s="7">
        <v>75579</v>
      </c>
      <c r="K268" s="9" t="s">
        <v>19</v>
      </c>
      <c r="L268" s="9" t="s">
        <v>20</v>
      </c>
      <c r="M268">
        <f t="shared" ca="1" si="8"/>
        <v>18</v>
      </c>
      <c r="N268">
        <f t="shared" ca="1" si="9"/>
        <v>9.5</v>
      </c>
    </row>
    <row r="269" spans="1:14" x14ac:dyDescent="0.3">
      <c r="A269" s="5" t="s">
        <v>341</v>
      </c>
      <c r="B269" s="9" t="s">
        <v>342</v>
      </c>
      <c r="C269" s="9" t="s">
        <v>277</v>
      </c>
      <c r="D269" s="9" t="s">
        <v>79</v>
      </c>
      <c r="E269" s="9" t="s">
        <v>25</v>
      </c>
      <c r="F269" s="9" t="s">
        <v>35</v>
      </c>
      <c r="G269" s="9" t="s">
        <v>73</v>
      </c>
      <c r="H269" s="5">
        <v>45</v>
      </c>
      <c r="I269" s="6">
        <v>44237</v>
      </c>
      <c r="J269" s="7">
        <v>79882</v>
      </c>
      <c r="K269" s="9" t="s">
        <v>19</v>
      </c>
      <c r="L269" s="9" t="s">
        <v>37</v>
      </c>
      <c r="M269">
        <f t="shared" ca="1" si="8"/>
        <v>4</v>
      </c>
      <c r="N269">
        <f t="shared" ca="1" si="9"/>
        <v>3</v>
      </c>
    </row>
    <row r="270" spans="1:14" x14ac:dyDescent="0.3">
      <c r="A270" s="5" t="s">
        <v>1686</v>
      </c>
      <c r="B270" s="9" t="s">
        <v>1687</v>
      </c>
      <c r="C270" s="9" t="s">
        <v>14</v>
      </c>
      <c r="D270" s="9" t="s">
        <v>68</v>
      </c>
      <c r="E270" s="9" t="s">
        <v>41</v>
      </c>
      <c r="F270" s="9" t="s">
        <v>17</v>
      </c>
      <c r="G270" s="9" t="s">
        <v>36</v>
      </c>
      <c r="H270" s="5">
        <v>65</v>
      </c>
      <c r="I270" s="6">
        <v>36823</v>
      </c>
      <c r="J270" s="7">
        <v>149417</v>
      </c>
      <c r="K270" s="9" t="s">
        <v>1310</v>
      </c>
      <c r="L270" s="9" t="s">
        <v>1330</v>
      </c>
      <c r="M270">
        <f t="shared" ca="1" si="8"/>
        <v>25</v>
      </c>
      <c r="N270">
        <f t="shared" ca="1" si="9"/>
        <v>10</v>
      </c>
    </row>
    <row r="271" spans="1:14" x14ac:dyDescent="0.3">
      <c r="A271" s="5" t="s">
        <v>409</v>
      </c>
      <c r="B271" s="9" t="s">
        <v>410</v>
      </c>
      <c r="C271" s="9" t="s">
        <v>23</v>
      </c>
      <c r="D271" s="9" t="s">
        <v>50</v>
      </c>
      <c r="E271" s="9" t="s">
        <v>16</v>
      </c>
      <c r="F271" s="9" t="s">
        <v>17</v>
      </c>
      <c r="G271" s="9" t="s">
        <v>36</v>
      </c>
      <c r="H271" s="5">
        <v>58</v>
      </c>
      <c r="I271" s="6">
        <v>37755</v>
      </c>
      <c r="J271" s="7">
        <v>173071</v>
      </c>
      <c r="K271" s="9" t="s">
        <v>19</v>
      </c>
      <c r="L271" s="9" t="s">
        <v>76</v>
      </c>
      <c r="M271">
        <f t="shared" ca="1" si="8"/>
        <v>22</v>
      </c>
      <c r="N271">
        <f t="shared" ca="1" si="9"/>
        <v>9.5</v>
      </c>
    </row>
    <row r="272" spans="1:14" x14ac:dyDescent="0.3">
      <c r="A272" s="5" t="s">
        <v>1161</v>
      </c>
      <c r="B272" s="9" t="s">
        <v>1162</v>
      </c>
      <c r="C272" s="9" t="s">
        <v>23</v>
      </c>
      <c r="D272" s="9" t="s">
        <v>24</v>
      </c>
      <c r="E272" s="9" t="s">
        <v>41</v>
      </c>
      <c r="F272" s="9" t="s">
        <v>35</v>
      </c>
      <c r="G272" s="9" t="s">
        <v>26</v>
      </c>
      <c r="H272" s="5">
        <v>41</v>
      </c>
      <c r="I272" s="6">
        <v>43600</v>
      </c>
      <c r="J272" s="7">
        <v>174415</v>
      </c>
      <c r="K272" s="9" t="s">
        <v>19</v>
      </c>
      <c r="L272" s="9" t="s">
        <v>45</v>
      </c>
      <c r="M272">
        <f t="shared" ca="1" si="8"/>
        <v>6</v>
      </c>
      <c r="N272">
        <f t="shared" ca="1" si="9"/>
        <v>4</v>
      </c>
    </row>
    <row r="273" spans="1:14" x14ac:dyDescent="0.3">
      <c r="A273" s="5" t="s">
        <v>1246</v>
      </c>
      <c r="B273" s="9" t="s">
        <v>1247</v>
      </c>
      <c r="C273" s="9" t="s">
        <v>40</v>
      </c>
      <c r="D273" s="9" t="s">
        <v>24</v>
      </c>
      <c r="E273" s="9" t="s">
        <v>31</v>
      </c>
      <c r="F273" s="9" t="s">
        <v>35</v>
      </c>
      <c r="G273" s="9" t="s">
        <v>26</v>
      </c>
      <c r="H273" s="5">
        <v>32</v>
      </c>
      <c r="I273" s="6">
        <v>43936</v>
      </c>
      <c r="J273" s="7">
        <v>126671</v>
      </c>
      <c r="K273" s="9" t="s">
        <v>19</v>
      </c>
      <c r="L273" s="9" t="s">
        <v>45</v>
      </c>
      <c r="M273">
        <f t="shared" ca="1" si="8"/>
        <v>5</v>
      </c>
      <c r="N273">
        <f t="shared" ca="1" si="9"/>
        <v>3</v>
      </c>
    </row>
    <row r="274" spans="1:14" x14ac:dyDescent="0.3">
      <c r="A274" s="5" t="s">
        <v>1193</v>
      </c>
      <c r="B274" s="9" t="s">
        <v>1194</v>
      </c>
      <c r="C274" s="9" t="s">
        <v>178</v>
      </c>
      <c r="D274" s="9" t="s">
        <v>15</v>
      </c>
      <c r="E274" s="9" t="s">
        <v>31</v>
      </c>
      <c r="F274" s="9" t="s">
        <v>35</v>
      </c>
      <c r="G274" s="9" t="s">
        <v>73</v>
      </c>
      <c r="H274" s="5">
        <v>26</v>
      </c>
      <c r="I274" s="6">
        <v>43569</v>
      </c>
      <c r="J274" s="7">
        <v>74467</v>
      </c>
      <c r="K274" s="9" t="s">
        <v>19</v>
      </c>
      <c r="L274" s="9" t="s">
        <v>76</v>
      </c>
      <c r="M274">
        <f t="shared" ca="1" si="8"/>
        <v>6</v>
      </c>
      <c r="N274">
        <f t="shared" ca="1" si="9"/>
        <v>4</v>
      </c>
    </row>
    <row r="275" spans="1:14" x14ac:dyDescent="0.3">
      <c r="A275" s="5" t="s">
        <v>1898</v>
      </c>
      <c r="B275" s="9" t="s">
        <v>1899</v>
      </c>
      <c r="C275" s="9" t="s">
        <v>67</v>
      </c>
      <c r="D275" s="9" t="s">
        <v>68</v>
      </c>
      <c r="E275" s="9" t="s">
        <v>25</v>
      </c>
      <c r="F275" s="9" t="s">
        <v>35</v>
      </c>
      <c r="G275" s="9" t="s">
        <v>73</v>
      </c>
      <c r="H275" s="5">
        <v>44</v>
      </c>
      <c r="I275" s="6">
        <v>44283</v>
      </c>
      <c r="J275" s="7">
        <v>186033</v>
      </c>
      <c r="K275" s="9" t="s">
        <v>1717</v>
      </c>
      <c r="L275" s="9" t="s">
        <v>1736</v>
      </c>
      <c r="M275">
        <f t="shared" ca="1" si="8"/>
        <v>4</v>
      </c>
      <c r="N275">
        <f t="shared" ca="1" si="9"/>
        <v>3</v>
      </c>
    </row>
    <row r="276" spans="1:14" x14ac:dyDescent="0.3">
      <c r="A276" s="5" t="s">
        <v>1226</v>
      </c>
      <c r="B276" s="9" t="s">
        <v>1227</v>
      </c>
      <c r="C276" s="9" t="s">
        <v>23</v>
      </c>
      <c r="D276" s="9" t="s">
        <v>24</v>
      </c>
      <c r="E276" s="9" t="s">
        <v>41</v>
      </c>
      <c r="F276" s="9" t="s">
        <v>17</v>
      </c>
      <c r="G276" s="9" t="s">
        <v>26</v>
      </c>
      <c r="H276" s="5">
        <v>64</v>
      </c>
      <c r="I276" s="6">
        <v>41264</v>
      </c>
      <c r="J276" s="7">
        <v>153253</v>
      </c>
      <c r="K276" s="9" t="s">
        <v>19</v>
      </c>
      <c r="L276" s="9" t="s">
        <v>51</v>
      </c>
      <c r="M276">
        <f t="shared" ca="1" si="8"/>
        <v>12</v>
      </c>
      <c r="N276">
        <f t="shared" ca="1" si="9"/>
        <v>8</v>
      </c>
    </row>
    <row r="277" spans="1:14" x14ac:dyDescent="0.3">
      <c r="A277" s="5" t="s">
        <v>488</v>
      </c>
      <c r="B277" s="9" t="s">
        <v>489</v>
      </c>
      <c r="C277" s="9" t="s">
        <v>234</v>
      </c>
      <c r="D277" s="9" t="s">
        <v>15</v>
      </c>
      <c r="E277" s="9" t="s">
        <v>41</v>
      </c>
      <c r="F277" s="9" t="s">
        <v>35</v>
      </c>
      <c r="G277" s="9" t="s">
        <v>26</v>
      </c>
      <c r="H277" s="5">
        <v>47</v>
      </c>
      <c r="I277" s="6">
        <v>43944</v>
      </c>
      <c r="J277" s="7">
        <v>50069</v>
      </c>
      <c r="K277" s="9" t="s">
        <v>19</v>
      </c>
      <c r="L277" s="9" t="s">
        <v>20</v>
      </c>
      <c r="M277">
        <f t="shared" ca="1" si="8"/>
        <v>5</v>
      </c>
      <c r="N277">
        <f t="shared" ca="1" si="9"/>
        <v>3</v>
      </c>
    </row>
    <row r="278" spans="1:14" x14ac:dyDescent="0.3">
      <c r="A278" s="5" t="s">
        <v>533</v>
      </c>
      <c r="B278" s="9" t="s">
        <v>534</v>
      </c>
      <c r="C278" s="9" t="s">
        <v>142</v>
      </c>
      <c r="D278" s="9" t="s">
        <v>60</v>
      </c>
      <c r="E278" s="9" t="s">
        <v>16</v>
      </c>
      <c r="F278" s="9" t="s">
        <v>17</v>
      </c>
      <c r="G278" s="9" t="s">
        <v>26</v>
      </c>
      <c r="H278" s="5">
        <v>61</v>
      </c>
      <c r="I278" s="6">
        <v>40193</v>
      </c>
      <c r="J278" s="7">
        <v>98110</v>
      </c>
      <c r="K278" s="9" t="s">
        <v>19</v>
      </c>
      <c r="L278" s="9" t="s">
        <v>27</v>
      </c>
      <c r="M278">
        <f t="shared" ca="1" si="8"/>
        <v>15</v>
      </c>
      <c r="N278">
        <f t="shared" ca="1" si="9"/>
        <v>8</v>
      </c>
    </row>
    <row r="279" spans="1:14" x14ac:dyDescent="0.3">
      <c r="A279" s="5" t="s">
        <v>295</v>
      </c>
      <c r="B279" s="9" t="s">
        <v>296</v>
      </c>
      <c r="C279" s="9" t="s">
        <v>88</v>
      </c>
      <c r="D279" s="9" t="s">
        <v>15</v>
      </c>
      <c r="E279" s="9" t="s">
        <v>31</v>
      </c>
      <c r="F279" s="9" t="s">
        <v>17</v>
      </c>
      <c r="G279" s="9" t="s">
        <v>26</v>
      </c>
      <c r="H279" s="5">
        <v>54</v>
      </c>
      <c r="I279" s="6">
        <v>42731</v>
      </c>
      <c r="J279" s="7">
        <v>41673</v>
      </c>
      <c r="K279" s="9" t="s">
        <v>19</v>
      </c>
      <c r="L279" s="9" t="s">
        <v>45</v>
      </c>
      <c r="M279">
        <f t="shared" ca="1" si="8"/>
        <v>8</v>
      </c>
      <c r="N279">
        <f t="shared" ca="1" si="9"/>
        <v>5.5</v>
      </c>
    </row>
    <row r="280" spans="1:14" x14ac:dyDescent="0.3">
      <c r="A280" s="5" t="s">
        <v>910</v>
      </c>
      <c r="B280" s="9" t="s">
        <v>911</v>
      </c>
      <c r="C280" s="9" t="s">
        <v>101</v>
      </c>
      <c r="D280" s="9" t="s">
        <v>15</v>
      </c>
      <c r="E280" s="9" t="s">
        <v>41</v>
      </c>
      <c r="F280" s="9" t="s">
        <v>17</v>
      </c>
      <c r="G280" s="9" t="s">
        <v>26</v>
      </c>
      <c r="H280" s="5">
        <v>53</v>
      </c>
      <c r="I280" s="6">
        <v>35543</v>
      </c>
      <c r="J280" s="7">
        <v>78153</v>
      </c>
      <c r="K280" s="9" t="s">
        <v>19</v>
      </c>
      <c r="L280" s="9" t="s">
        <v>45</v>
      </c>
      <c r="M280">
        <f t="shared" ca="1" si="8"/>
        <v>28</v>
      </c>
      <c r="N280">
        <f t="shared" ca="1" si="9"/>
        <v>10</v>
      </c>
    </row>
    <row r="281" spans="1:14" x14ac:dyDescent="0.3">
      <c r="A281" s="5" t="s">
        <v>856</v>
      </c>
      <c r="B281" s="9" t="s">
        <v>857</v>
      </c>
      <c r="C281" s="9" t="s">
        <v>30</v>
      </c>
      <c r="D281" s="9" t="s">
        <v>15</v>
      </c>
      <c r="E281" s="9" t="s">
        <v>16</v>
      </c>
      <c r="F281" s="9" t="s">
        <v>35</v>
      </c>
      <c r="G281" s="9" t="s">
        <v>18</v>
      </c>
      <c r="H281" s="5">
        <v>40</v>
      </c>
      <c r="I281" s="6">
        <v>43520</v>
      </c>
      <c r="J281" s="7">
        <v>95899</v>
      </c>
      <c r="K281" s="9" t="s">
        <v>19</v>
      </c>
      <c r="L281" s="9" t="s">
        <v>76</v>
      </c>
      <c r="M281">
        <f t="shared" ca="1" si="8"/>
        <v>6</v>
      </c>
      <c r="N281">
        <f t="shared" ca="1" si="9"/>
        <v>4</v>
      </c>
    </row>
    <row r="282" spans="1:14" x14ac:dyDescent="0.3">
      <c r="A282" s="5" t="s">
        <v>1557</v>
      </c>
      <c r="B282" s="9" t="s">
        <v>1558</v>
      </c>
      <c r="C282" s="9" t="s">
        <v>67</v>
      </c>
      <c r="D282" s="9" t="s">
        <v>68</v>
      </c>
      <c r="E282" s="9" t="s">
        <v>41</v>
      </c>
      <c r="F282" s="9" t="s">
        <v>35</v>
      </c>
      <c r="G282" s="9" t="s">
        <v>36</v>
      </c>
      <c r="H282" s="5">
        <v>41</v>
      </c>
      <c r="I282" s="6">
        <v>41916</v>
      </c>
      <c r="J282" s="7">
        <v>257194</v>
      </c>
      <c r="K282" s="9" t="s">
        <v>1310</v>
      </c>
      <c r="L282" s="9" t="s">
        <v>1311</v>
      </c>
      <c r="M282">
        <f t="shared" ca="1" si="8"/>
        <v>11</v>
      </c>
      <c r="N282">
        <f t="shared" ca="1" si="9"/>
        <v>5.5</v>
      </c>
    </row>
    <row r="283" spans="1:14" x14ac:dyDescent="0.3">
      <c r="A283" s="5" t="s">
        <v>1559</v>
      </c>
      <c r="B283" s="9" t="s">
        <v>1560</v>
      </c>
      <c r="C283" s="9" t="s">
        <v>116</v>
      </c>
      <c r="D283" s="9" t="s">
        <v>60</v>
      </c>
      <c r="E283" s="9" t="s">
        <v>16</v>
      </c>
      <c r="F283" s="9" t="s">
        <v>35</v>
      </c>
      <c r="G283" s="9" t="s">
        <v>36</v>
      </c>
      <c r="H283" s="5">
        <v>55</v>
      </c>
      <c r="I283" s="6">
        <v>40663</v>
      </c>
      <c r="J283" s="7">
        <v>89419</v>
      </c>
      <c r="K283" s="9" t="s">
        <v>1310</v>
      </c>
      <c r="L283" s="9" t="s">
        <v>1316</v>
      </c>
      <c r="M283">
        <f t="shared" ca="1" si="8"/>
        <v>14</v>
      </c>
      <c r="N283">
        <f t="shared" ca="1" si="9"/>
        <v>8</v>
      </c>
    </row>
    <row r="284" spans="1:14" x14ac:dyDescent="0.3">
      <c r="A284" s="5" t="s">
        <v>513</v>
      </c>
      <c r="B284" s="9" t="s">
        <v>514</v>
      </c>
      <c r="C284" s="9" t="s">
        <v>211</v>
      </c>
      <c r="D284" s="9" t="s">
        <v>15</v>
      </c>
      <c r="E284" s="9" t="s">
        <v>16</v>
      </c>
      <c r="F284" s="9" t="s">
        <v>17</v>
      </c>
      <c r="G284" s="9" t="s">
        <v>36</v>
      </c>
      <c r="H284" s="5">
        <v>51</v>
      </c>
      <c r="I284" s="6">
        <v>40964</v>
      </c>
      <c r="J284" s="7">
        <v>64170</v>
      </c>
      <c r="K284" s="9" t="s">
        <v>19</v>
      </c>
      <c r="L284" s="9" t="s">
        <v>76</v>
      </c>
      <c r="M284">
        <f t="shared" ca="1" si="8"/>
        <v>13</v>
      </c>
      <c r="N284">
        <f t="shared" ca="1" si="9"/>
        <v>8</v>
      </c>
    </row>
    <row r="285" spans="1:14" x14ac:dyDescent="0.3">
      <c r="A285" s="5" t="s">
        <v>1597</v>
      </c>
      <c r="B285" s="9" t="s">
        <v>1598</v>
      </c>
      <c r="C285" s="9" t="s">
        <v>23</v>
      </c>
      <c r="D285" s="9" t="s">
        <v>15</v>
      </c>
      <c r="E285" s="9" t="s">
        <v>31</v>
      </c>
      <c r="F285" s="9" t="s">
        <v>17</v>
      </c>
      <c r="G285" s="9" t="s">
        <v>36</v>
      </c>
      <c r="H285" s="5">
        <v>27</v>
      </c>
      <c r="I285" s="6">
        <v>43103</v>
      </c>
      <c r="J285" s="7">
        <v>167100</v>
      </c>
      <c r="K285" s="9" t="s">
        <v>1310</v>
      </c>
      <c r="L285" s="9" t="s">
        <v>1330</v>
      </c>
      <c r="M285">
        <f t="shared" ca="1" si="8"/>
        <v>7</v>
      </c>
      <c r="N285">
        <f t="shared" ca="1" si="9"/>
        <v>4</v>
      </c>
    </row>
    <row r="286" spans="1:14" x14ac:dyDescent="0.3">
      <c r="A286" s="5" t="s">
        <v>201</v>
      </c>
      <c r="B286" s="9" t="s">
        <v>1661</v>
      </c>
      <c r="C286" s="9" t="s">
        <v>139</v>
      </c>
      <c r="D286" s="9" t="s">
        <v>56</v>
      </c>
      <c r="E286" s="9" t="s">
        <v>25</v>
      </c>
      <c r="F286" s="9" t="s">
        <v>35</v>
      </c>
      <c r="G286" s="9" t="s">
        <v>36</v>
      </c>
      <c r="H286" s="5">
        <v>58</v>
      </c>
      <c r="I286" s="6">
        <v>41810</v>
      </c>
      <c r="J286" s="7">
        <v>41728</v>
      </c>
      <c r="K286" s="9" t="s">
        <v>1310</v>
      </c>
      <c r="L286" s="9" t="s">
        <v>1311</v>
      </c>
      <c r="M286">
        <f t="shared" ca="1" si="8"/>
        <v>11</v>
      </c>
      <c r="N286">
        <f t="shared" ca="1" si="9"/>
        <v>5.5</v>
      </c>
    </row>
    <row r="287" spans="1:14" x14ac:dyDescent="0.3">
      <c r="A287" s="5" t="s">
        <v>201</v>
      </c>
      <c r="B287" s="9" t="s">
        <v>202</v>
      </c>
      <c r="C287" s="9" t="s">
        <v>130</v>
      </c>
      <c r="D287" s="9" t="s">
        <v>60</v>
      </c>
      <c r="E287" s="9" t="s">
        <v>16</v>
      </c>
      <c r="F287" s="9" t="s">
        <v>17</v>
      </c>
      <c r="G287" s="9" t="s">
        <v>73</v>
      </c>
      <c r="H287" s="5">
        <v>50</v>
      </c>
      <c r="I287" s="6">
        <v>35726</v>
      </c>
      <c r="J287" s="7">
        <v>91763</v>
      </c>
      <c r="K287" s="9" t="s">
        <v>19</v>
      </c>
      <c r="L287" s="9" t="s">
        <v>51</v>
      </c>
      <c r="M287">
        <f t="shared" ca="1" si="8"/>
        <v>28</v>
      </c>
      <c r="N287">
        <f t="shared" ca="1" si="9"/>
        <v>10</v>
      </c>
    </row>
    <row r="288" spans="1:14" x14ac:dyDescent="0.3">
      <c r="A288" s="5" t="s">
        <v>1635</v>
      </c>
      <c r="B288" s="9" t="s">
        <v>1636</v>
      </c>
      <c r="C288" s="9" t="s">
        <v>91</v>
      </c>
      <c r="D288" s="9" t="s">
        <v>50</v>
      </c>
      <c r="E288" s="9" t="s">
        <v>16</v>
      </c>
      <c r="F288" s="9" t="s">
        <v>35</v>
      </c>
      <c r="G288" s="9" t="s">
        <v>36</v>
      </c>
      <c r="H288" s="5">
        <v>43</v>
      </c>
      <c r="I288" s="6">
        <v>41680</v>
      </c>
      <c r="J288" s="7">
        <v>58875</v>
      </c>
      <c r="K288" s="9" t="s">
        <v>1310</v>
      </c>
      <c r="L288" s="9" t="s">
        <v>1330</v>
      </c>
      <c r="M288">
        <f t="shared" ca="1" si="8"/>
        <v>11</v>
      </c>
      <c r="N288">
        <f t="shared" ca="1" si="9"/>
        <v>5.5</v>
      </c>
    </row>
    <row r="289" spans="1:14" x14ac:dyDescent="0.3">
      <c r="A289" s="5" t="s">
        <v>1425</v>
      </c>
      <c r="B289" s="9" t="s">
        <v>1426</v>
      </c>
      <c r="C289" s="9" t="s">
        <v>67</v>
      </c>
      <c r="D289" s="9" t="s">
        <v>15</v>
      </c>
      <c r="E289" s="9" t="s">
        <v>16</v>
      </c>
      <c r="F289" s="9" t="s">
        <v>35</v>
      </c>
      <c r="G289" s="9" t="s">
        <v>36</v>
      </c>
      <c r="H289" s="5">
        <v>40</v>
      </c>
      <c r="I289" s="6">
        <v>44143</v>
      </c>
      <c r="J289" s="7">
        <v>234469</v>
      </c>
      <c r="K289" s="9" t="s">
        <v>1310</v>
      </c>
      <c r="L289" s="9" t="s">
        <v>1330</v>
      </c>
      <c r="M289">
        <f t="shared" ca="1" si="8"/>
        <v>5</v>
      </c>
      <c r="N289">
        <f t="shared" ca="1" si="9"/>
        <v>3</v>
      </c>
    </row>
    <row r="290" spans="1:14" x14ac:dyDescent="0.3">
      <c r="A290" s="5" t="s">
        <v>1882</v>
      </c>
      <c r="B290" s="9" t="s">
        <v>1883</v>
      </c>
      <c r="C290" s="9" t="s">
        <v>14</v>
      </c>
      <c r="D290" s="9" t="s">
        <v>56</v>
      </c>
      <c r="E290" s="9" t="s">
        <v>41</v>
      </c>
      <c r="F290" s="9" t="s">
        <v>17</v>
      </c>
      <c r="G290" s="9" t="s">
        <v>73</v>
      </c>
      <c r="H290" s="5">
        <v>29</v>
      </c>
      <c r="I290" s="6">
        <v>44025</v>
      </c>
      <c r="J290" s="7">
        <v>141555</v>
      </c>
      <c r="K290" s="9" t="s">
        <v>1717</v>
      </c>
      <c r="L290" s="9" t="s">
        <v>1718</v>
      </c>
      <c r="M290">
        <f t="shared" ca="1" si="8"/>
        <v>5</v>
      </c>
      <c r="N290">
        <f t="shared" ca="1" si="9"/>
        <v>3</v>
      </c>
    </row>
    <row r="291" spans="1:14" x14ac:dyDescent="0.3">
      <c r="A291" s="5" t="s">
        <v>1772</v>
      </c>
      <c r="B291" s="9" t="s">
        <v>1773</v>
      </c>
      <c r="C291" s="9" t="s">
        <v>59</v>
      </c>
      <c r="D291" s="9" t="s">
        <v>60</v>
      </c>
      <c r="E291" s="9" t="s">
        <v>31</v>
      </c>
      <c r="F291" s="9" t="s">
        <v>35</v>
      </c>
      <c r="G291" s="9" t="s">
        <v>73</v>
      </c>
      <c r="H291" s="5">
        <v>40</v>
      </c>
      <c r="I291" s="6">
        <v>39506</v>
      </c>
      <c r="J291" s="7">
        <v>113987</v>
      </c>
      <c r="K291" s="9" t="s">
        <v>1717</v>
      </c>
      <c r="L291" s="9" t="s">
        <v>1718</v>
      </c>
      <c r="M291">
        <f t="shared" ca="1" si="8"/>
        <v>17</v>
      </c>
      <c r="N291">
        <f t="shared" ca="1" si="9"/>
        <v>8</v>
      </c>
    </row>
    <row r="292" spans="1:14" x14ac:dyDescent="0.3">
      <c r="A292" s="5" t="s">
        <v>393</v>
      </c>
      <c r="B292" s="9" t="s">
        <v>394</v>
      </c>
      <c r="C292" s="9" t="s">
        <v>14</v>
      </c>
      <c r="D292" s="9" t="s">
        <v>56</v>
      </c>
      <c r="E292" s="9" t="s">
        <v>31</v>
      </c>
      <c r="F292" s="9" t="s">
        <v>17</v>
      </c>
      <c r="G292" s="9" t="s">
        <v>18</v>
      </c>
      <c r="H292" s="5">
        <v>55</v>
      </c>
      <c r="I292" s="6">
        <v>38301</v>
      </c>
      <c r="J292" s="7">
        <v>142318</v>
      </c>
      <c r="K292" s="9" t="s">
        <v>19</v>
      </c>
      <c r="L292" s="9" t="s">
        <v>27</v>
      </c>
      <c r="M292">
        <f t="shared" ca="1" si="8"/>
        <v>21</v>
      </c>
      <c r="N292">
        <f t="shared" ca="1" si="9"/>
        <v>9.5</v>
      </c>
    </row>
    <row r="293" spans="1:14" x14ac:dyDescent="0.3">
      <c r="A293" s="5" t="s">
        <v>1037</v>
      </c>
      <c r="B293" s="9" t="s">
        <v>784</v>
      </c>
      <c r="C293" s="9" t="s">
        <v>277</v>
      </c>
      <c r="D293" s="9" t="s">
        <v>79</v>
      </c>
      <c r="E293" s="9" t="s">
        <v>25</v>
      </c>
      <c r="F293" s="9" t="s">
        <v>17</v>
      </c>
      <c r="G293" s="9" t="s">
        <v>18</v>
      </c>
      <c r="H293" s="5">
        <v>60</v>
      </c>
      <c r="I293" s="6">
        <v>35641</v>
      </c>
      <c r="J293" s="7">
        <v>71677</v>
      </c>
      <c r="K293" s="9" t="s">
        <v>19</v>
      </c>
      <c r="L293" s="9" t="s">
        <v>76</v>
      </c>
      <c r="M293">
        <f t="shared" ca="1" si="8"/>
        <v>28</v>
      </c>
      <c r="N293">
        <f t="shared" ca="1" si="9"/>
        <v>10</v>
      </c>
    </row>
    <row r="294" spans="1:14" x14ac:dyDescent="0.3">
      <c r="A294" s="5" t="s">
        <v>1207</v>
      </c>
      <c r="B294" s="9" t="s">
        <v>1208</v>
      </c>
      <c r="C294" s="9" t="s">
        <v>277</v>
      </c>
      <c r="D294" s="9" t="s">
        <v>79</v>
      </c>
      <c r="E294" s="9" t="s">
        <v>25</v>
      </c>
      <c r="F294" s="9" t="s">
        <v>35</v>
      </c>
      <c r="G294" s="9" t="s">
        <v>26</v>
      </c>
      <c r="H294" s="5">
        <v>32</v>
      </c>
      <c r="I294" s="6">
        <v>43864</v>
      </c>
      <c r="J294" s="7">
        <v>96598</v>
      </c>
      <c r="K294" s="9" t="s">
        <v>19</v>
      </c>
      <c r="L294" s="9" t="s">
        <v>37</v>
      </c>
      <c r="M294">
        <f t="shared" ca="1" si="8"/>
        <v>5</v>
      </c>
      <c r="N294">
        <f t="shared" ca="1" si="9"/>
        <v>3</v>
      </c>
    </row>
    <row r="295" spans="1:14" x14ac:dyDescent="0.3">
      <c r="A295" s="5" t="s">
        <v>645</v>
      </c>
      <c r="B295" s="9" t="s">
        <v>646</v>
      </c>
      <c r="C295" s="9" t="s">
        <v>91</v>
      </c>
      <c r="D295" s="9" t="s">
        <v>50</v>
      </c>
      <c r="E295" s="9" t="s">
        <v>31</v>
      </c>
      <c r="F295" s="9" t="s">
        <v>35</v>
      </c>
      <c r="G295" s="9" t="s">
        <v>18</v>
      </c>
      <c r="H295" s="5">
        <v>30</v>
      </c>
      <c r="I295" s="6">
        <v>44124</v>
      </c>
      <c r="J295" s="7">
        <v>67753</v>
      </c>
      <c r="K295" s="9" t="s">
        <v>19</v>
      </c>
      <c r="L295" s="9" t="s">
        <v>37</v>
      </c>
      <c r="M295">
        <f t="shared" ca="1" si="8"/>
        <v>5</v>
      </c>
      <c r="N295">
        <f t="shared" ca="1" si="9"/>
        <v>3</v>
      </c>
    </row>
    <row r="296" spans="1:14" x14ac:dyDescent="0.3">
      <c r="A296" s="5" t="s">
        <v>1726</v>
      </c>
      <c r="B296" s="9" t="s">
        <v>1727</v>
      </c>
      <c r="C296" s="9" t="s">
        <v>96</v>
      </c>
      <c r="D296" s="9" t="s">
        <v>15</v>
      </c>
      <c r="E296" s="9" t="s">
        <v>41</v>
      </c>
      <c r="F296" s="9" t="s">
        <v>17</v>
      </c>
      <c r="G296" s="9" t="s">
        <v>73</v>
      </c>
      <c r="H296" s="5">
        <v>57</v>
      </c>
      <c r="I296" s="6">
        <v>34337</v>
      </c>
      <c r="J296" s="7">
        <v>82872</v>
      </c>
      <c r="K296" s="9" t="s">
        <v>1717</v>
      </c>
      <c r="L296" s="9" t="s">
        <v>1718</v>
      </c>
      <c r="M296">
        <f t="shared" ca="1" si="8"/>
        <v>31</v>
      </c>
      <c r="N296">
        <f t="shared" ca="1" si="9"/>
        <v>15</v>
      </c>
    </row>
    <row r="297" spans="1:14" x14ac:dyDescent="0.3">
      <c r="A297" s="5" t="s">
        <v>1900</v>
      </c>
      <c r="B297" s="9" t="s">
        <v>1901</v>
      </c>
      <c r="C297" s="9" t="s">
        <v>14</v>
      </c>
      <c r="D297" s="9" t="s">
        <v>68</v>
      </c>
      <c r="E297" s="9" t="s">
        <v>25</v>
      </c>
      <c r="F297" s="9" t="s">
        <v>17</v>
      </c>
      <c r="G297" s="9" t="s">
        <v>73</v>
      </c>
      <c r="H297" s="5">
        <v>29</v>
      </c>
      <c r="I297" s="6">
        <v>43966</v>
      </c>
      <c r="J297" s="7">
        <v>137106</v>
      </c>
      <c r="K297" s="9" t="s">
        <v>1717</v>
      </c>
      <c r="L297" s="9" t="s">
        <v>1736</v>
      </c>
      <c r="M297">
        <f t="shared" ca="1" si="8"/>
        <v>5</v>
      </c>
      <c r="N297">
        <f t="shared" ca="1" si="9"/>
        <v>3</v>
      </c>
    </row>
    <row r="298" spans="1:14" x14ac:dyDescent="0.3">
      <c r="A298" s="5" t="s">
        <v>1870</v>
      </c>
      <c r="B298" s="9" t="s">
        <v>1871</v>
      </c>
      <c r="C298" s="9" t="s">
        <v>67</v>
      </c>
      <c r="D298" s="9" t="s">
        <v>15</v>
      </c>
      <c r="E298" s="9" t="s">
        <v>31</v>
      </c>
      <c r="F298" s="9" t="s">
        <v>35</v>
      </c>
      <c r="G298" s="9" t="s">
        <v>73</v>
      </c>
      <c r="H298" s="5">
        <v>51</v>
      </c>
      <c r="I298" s="6">
        <v>37091</v>
      </c>
      <c r="J298" s="7">
        <v>247874</v>
      </c>
      <c r="K298" s="9" t="s">
        <v>1717</v>
      </c>
      <c r="L298" s="9" t="s">
        <v>1718</v>
      </c>
      <c r="M298">
        <f t="shared" ca="1" si="8"/>
        <v>24</v>
      </c>
      <c r="N298">
        <f t="shared" ca="1" si="9"/>
        <v>9.5</v>
      </c>
    </row>
    <row r="299" spans="1:14" x14ac:dyDescent="0.3">
      <c r="A299" s="5" t="s">
        <v>243</v>
      </c>
      <c r="B299" s="9" t="s">
        <v>244</v>
      </c>
      <c r="C299" s="9" t="s">
        <v>67</v>
      </c>
      <c r="D299" s="9" t="s">
        <v>60</v>
      </c>
      <c r="E299" s="9" t="s">
        <v>41</v>
      </c>
      <c r="F299" s="9" t="s">
        <v>35</v>
      </c>
      <c r="G299" s="9" t="s">
        <v>26</v>
      </c>
      <c r="H299" s="5">
        <v>33</v>
      </c>
      <c r="I299" s="6">
        <v>42173</v>
      </c>
      <c r="J299" s="7">
        <v>205314</v>
      </c>
      <c r="K299" s="9" t="s">
        <v>19</v>
      </c>
      <c r="L299" s="9" t="s">
        <v>76</v>
      </c>
      <c r="M299">
        <f t="shared" ca="1" si="8"/>
        <v>10</v>
      </c>
      <c r="N299">
        <f t="shared" ca="1" si="9"/>
        <v>5.5</v>
      </c>
    </row>
    <row r="300" spans="1:14" x14ac:dyDescent="0.3">
      <c r="A300" s="5" t="s">
        <v>185</v>
      </c>
      <c r="B300" s="9" t="s">
        <v>186</v>
      </c>
      <c r="C300" s="9" t="s">
        <v>14</v>
      </c>
      <c r="D300" s="9" t="s">
        <v>79</v>
      </c>
      <c r="E300" s="9" t="s">
        <v>31</v>
      </c>
      <c r="F300" s="9" t="s">
        <v>17</v>
      </c>
      <c r="G300" s="9" t="s">
        <v>36</v>
      </c>
      <c r="H300" s="5">
        <v>34</v>
      </c>
      <c r="I300" s="6">
        <v>42116</v>
      </c>
      <c r="J300" s="7">
        <v>154941</v>
      </c>
      <c r="K300" s="9" t="s">
        <v>19</v>
      </c>
      <c r="L300" s="9" t="s">
        <v>37</v>
      </c>
      <c r="M300">
        <f t="shared" ca="1" si="8"/>
        <v>10</v>
      </c>
      <c r="N300">
        <f t="shared" ca="1" si="9"/>
        <v>5.5</v>
      </c>
    </row>
    <row r="301" spans="1:14" x14ac:dyDescent="0.3">
      <c r="A301" s="5" t="s">
        <v>996</v>
      </c>
      <c r="B301" s="9" t="s">
        <v>997</v>
      </c>
      <c r="C301" s="9" t="s">
        <v>324</v>
      </c>
      <c r="D301" s="9" t="s">
        <v>15</v>
      </c>
      <c r="E301" s="9" t="s">
        <v>16</v>
      </c>
      <c r="F301" s="9" t="s">
        <v>35</v>
      </c>
      <c r="G301" s="9" t="s">
        <v>26</v>
      </c>
      <c r="H301" s="5">
        <v>48</v>
      </c>
      <c r="I301" s="6">
        <v>38987</v>
      </c>
      <c r="J301" s="7">
        <v>76505</v>
      </c>
      <c r="K301" s="9" t="s">
        <v>19</v>
      </c>
      <c r="L301" s="9" t="s">
        <v>20</v>
      </c>
      <c r="M301">
        <f t="shared" ca="1" si="8"/>
        <v>19</v>
      </c>
      <c r="N301">
        <f t="shared" ca="1" si="9"/>
        <v>9.5</v>
      </c>
    </row>
    <row r="302" spans="1:14" x14ac:dyDescent="0.3">
      <c r="A302" s="5" t="s">
        <v>1892</v>
      </c>
      <c r="B302" s="9" t="s">
        <v>1893</v>
      </c>
      <c r="C302" s="9" t="s">
        <v>234</v>
      </c>
      <c r="D302" s="9" t="s">
        <v>15</v>
      </c>
      <c r="E302" s="9" t="s">
        <v>31</v>
      </c>
      <c r="F302" s="9" t="s">
        <v>17</v>
      </c>
      <c r="G302" s="9" t="s">
        <v>73</v>
      </c>
      <c r="H302" s="5">
        <v>53</v>
      </c>
      <c r="I302" s="6">
        <v>38214</v>
      </c>
      <c r="J302" s="7">
        <v>44735</v>
      </c>
      <c r="K302" s="9" t="s">
        <v>1717</v>
      </c>
      <c r="L302" s="9" t="s">
        <v>1718</v>
      </c>
      <c r="M302">
        <f t="shared" ca="1" si="8"/>
        <v>21</v>
      </c>
      <c r="N302">
        <f t="shared" ca="1" si="9"/>
        <v>9.5</v>
      </c>
    </row>
    <row r="303" spans="1:14" x14ac:dyDescent="0.3">
      <c r="A303" s="5" t="s">
        <v>965</v>
      </c>
      <c r="B303" s="9" t="s">
        <v>966</v>
      </c>
      <c r="C303" s="9" t="s">
        <v>14</v>
      </c>
      <c r="D303" s="9" t="s">
        <v>50</v>
      </c>
      <c r="E303" s="9" t="s">
        <v>41</v>
      </c>
      <c r="F303" s="9" t="s">
        <v>17</v>
      </c>
      <c r="G303" s="9" t="s">
        <v>26</v>
      </c>
      <c r="H303" s="5">
        <v>62</v>
      </c>
      <c r="I303" s="6">
        <v>39843</v>
      </c>
      <c r="J303" s="7">
        <v>150555</v>
      </c>
      <c r="K303" s="9" t="s">
        <v>19</v>
      </c>
      <c r="L303" s="9" t="s">
        <v>37</v>
      </c>
      <c r="M303">
        <f t="shared" ca="1" si="8"/>
        <v>16</v>
      </c>
      <c r="N303">
        <f t="shared" ca="1" si="9"/>
        <v>8</v>
      </c>
    </row>
    <row r="304" spans="1:14" x14ac:dyDescent="0.3">
      <c r="A304" s="5" t="s">
        <v>447</v>
      </c>
      <c r="B304" s="9" t="s">
        <v>448</v>
      </c>
      <c r="C304" s="9" t="s">
        <v>44</v>
      </c>
      <c r="D304" s="9" t="s">
        <v>79</v>
      </c>
      <c r="E304" s="9" t="s">
        <v>25</v>
      </c>
      <c r="F304" s="9" t="s">
        <v>35</v>
      </c>
      <c r="G304" s="9" t="s">
        <v>36</v>
      </c>
      <c r="H304" s="5">
        <v>25</v>
      </c>
      <c r="I304" s="6">
        <v>44405</v>
      </c>
      <c r="J304" s="7">
        <v>46845</v>
      </c>
      <c r="K304" s="9" t="s">
        <v>19</v>
      </c>
      <c r="L304" s="9" t="s">
        <v>45</v>
      </c>
      <c r="M304">
        <f t="shared" ca="1" si="8"/>
        <v>4</v>
      </c>
      <c r="N304">
        <f t="shared" ca="1" si="9"/>
        <v>3</v>
      </c>
    </row>
    <row r="305" spans="1:14" x14ac:dyDescent="0.3">
      <c r="A305" s="5" t="s">
        <v>575</v>
      </c>
      <c r="B305" s="9" t="s">
        <v>576</v>
      </c>
      <c r="C305" s="9" t="s">
        <v>577</v>
      </c>
      <c r="D305" s="9" t="s">
        <v>15</v>
      </c>
      <c r="E305" s="9" t="s">
        <v>31</v>
      </c>
      <c r="F305" s="9" t="s">
        <v>17</v>
      </c>
      <c r="G305" s="9" t="s">
        <v>26</v>
      </c>
      <c r="H305" s="5">
        <v>55</v>
      </c>
      <c r="I305" s="6">
        <v>40868</v>
      </c>
      <c r="J305" s="7">
        <v>81218</v>
      </c>
      <c r="K305" s="9" t="s">
        <v>19</v>
      </c>
      <c r="L305" s="9" t="s">
        <v>27</v>
      </c>
      <c r="M305">
        <f t="shared" ca="1" si="8"/>
        <v>14</v>
      </c>
      <c r="N305">
        <f t="shared" ca="1" si="9"/>
        <v>8</v>
      </c>
    </row>
    <row r="306" spans="1:14" x14ac:dyDescent="0.3">
      <c r="A306" s="5" t="s">
        <v>1411</v>
      </c>
      <c r="B306" s="9" t="s">
        <v>1412</v>
      </c>
      <c r="C306" s="9" t="s">
        <v>307</v>
      </c>
      <c r="D306" s="9" t="s">
        <v>15</v>
      </c>
      <c r="E306" s="9" t="s">
        <v>31</v>
      </c>
      <c r="F306" s="9" t="s">
        <v>17</v>
      </c>
      <c r="G306" s="9" t="s">
        <v>36</v>
      </c>
      <c r="H306" s="5">
        <v>48</v>
      </c>
      <c r="I306" s="6">
        <v>37855</v>
      </c>
      <c r="J306" s="7">
        <v>82017</v>
      </c>
      <c r="K306" s="9" t="s">
        <v>1310</v>
      </c>
      <c r="L306" s="9" t="s">
        <v>1323</v>
      </c>
      <c r="M306">
        <f t="shared" ca="1" si="8"/>
        <v>22</v>
      </c>
      <c r="N306">
        <f t="shared" ca="1" si="9"/>
        <v>9.5</v>
      </c>
    </row>
    <row r="307" spans="1:14" x14ac:dyDescent="0.3">
      <c r="A307" s="5" t="s">
        <v>329</v>
      </c>
      <c r="B307" s="9" t="s">
        <v>330</v>
      </c>
      <c r="C307" s="9" t="s">
        <v>67</v>
      </c>
      <c r="D307" s="9" t="s">
        <v>50</v>
      </c>
      <c r="E307" s="9" t="s">
        <v>16</v>
      </c>
      <c r="F307" s="9" t="s">
        <v>35</v>
      </c>
      <c r="G307" s="9" t="s">
        <v>36</v>
      </c>
      <c r="H307" s="5">
        <v>59</v>
      </c>
      <c r="I307" s="6">
        <v>40681</v>
      </c>
      <c r="J307" s="7">
        <v>192213</v>
      </c>
      <c r="K307" s="9" t="s">
        <v>19</v>
      </c>
      <c r="L307" s="9" t="s">
        <v>27</v>
      </c>
      <c r="M307">
        <f t="shared" ca="1" si="8"/>
        <v>14</v>
      </c>
      <c r="N307">
        <f t="shared" ca="1" si="9"/>
        <v>8</v>
      </c>
    </row>
    <row r="308" spans="1:14" x14ac:dyDescent="0.3">
      <c r="A308" s="5" t="s">
        <v>747</v>
      </c>
      <c r="B308" s="9" t="s">
        <v>748</v>
      </c>
      <c r="C308" s="9" t="s">
        <v>23</v>
      </c>
      <c r="D308" s="9" t="s">
        <v>79</v>
      </c>
      <c r="E308" s="9" t="s">
        <v>31</v>
      </c>
      <c r="F308" s="9" t="s">
        <v>17</v>
      </c>
      <c r="G308" s="9" t="s">
        <v>26</v>
      </c>
      <c r="H308" s="5">
        <v>61</v>
      </c>
      <c r="I308" s="6">
        <v>44219</v>
      </c>
      <c r="J308" s="7">
        <v>151783</v>
      </c>
      <c r="K308" s="9" t="s">
        <v>19</v>
      </c>
      <c r="L308" s="9" t="s">
        <v>20</v>
      </c>
      <c r="M308">
        <f t="shared" ca="1" si="8"/>
        <v>4</v>
      </c>
      <c r="N308">
        <f t="shared" ca="1" si="9"/>
        <v>3</v>
      </c>
    </row>
    <row r="309" spans="1:14" x14ac:dyDescent="0.3">
      <c r="A309" s="5" t="s">
        <v>747</v>
      </c>
      <c r="B309" s="9" t="s">
        <v>1258</v>
      </c>
      <c r="C309" s="9" t="s">
        <v>34</v>
      </c>
      <c r="D309" s="9" t="s">
        <v>50</v>
      </c>
      <c r="E309" s="9" t="s">
        <v>31</v>
      </c>
      <c r="F309" s="9" t="s">
        <v>17</v>
      </c>
      <c r="G309" s="9" t="s">
        <v>36</v>
      </c>
      <c r="H309" s="5">
        <v>44</v>
      </c>
      <c r="I309" s="6">
        <v>44314</v>
      </c>
      <c r="J309" s="7">
        <v>98520</v>
      </c>
      <c r="K309" s="9" t="s">
        <v>19</v>
      </c>
      <c r="L309" s="9" t="s">
        <v>45</v>
      </c>
      <c r="M309">
        <f t="shared" ca="1" si="8"/>
        <v>4</v>
      </c>
      <c r="N309">
        <f t="shared" ca="1" si="9"/>
        <v>3</v>
      </c>
    </row>
    <row r="310" spans="1:14" x14ac:dyDescent="0.3">
      <c r="A310" s="5" t="s">
        <v>669</v>
      </c>
      <c r="B310" s="9" t="s">
        <v>670</v>
      </c>
      <c r="C310" s="9" t="s">
        <v>96</v>
      </c>
      <c r="D310" s="9" t="s">
        <v>15</v>
      </c>
      <c r="E310" s="9" t="s">
        <v>31</v>
      </c>
      <c r="F310" s="9" t="s">
        <v>17</v>
      </c>
      <c r="G310" s="9" t="s">
        <v>73</v>
      </c>
      <c r="H310" s="5">
        <v>53</v>
      </c>
      <c r="I310" s="6">
        <v>38188</v>
      </c>
      <c r="J310" s="7">
        <v>65702</v>
      </c>
      <c r="K310" s="9" t="s">
        <v>19</v>
      </c>
      <c r="L310" s="9" t="s">
        <v>76</v>
      </c>
      <c r="M310">
        <f t="shared" ca="1" si="8"/>
        <v>21</v>
      </c>
      <c r="N310">
        <f t="shared" ca="1" si="9"/>
        <v>9.5</v>
      </c>
    </row>
    <row r="311" spans="1:14" x14ac:dyDescent="0.3">
      <c r="A311" s="5" t="s">
        <v>160</v>
      </c>
      <c r="B311" s="9" t="s">
        <v>1381</v>
      </c>
      <c r="C311" s="9" t="s">
        <v>451</v>
      </c>
      <c r="D311" s="9" t="s">
        <v>15</v>
      </c>
      <c r="E311" s="9" t="s">
        <v>16</v>
      </c>
      <c r="F311" s="9" t="s">
        <v>35</v>
      </c>
      <c r="G311" s="9" t="s">
        <v>36</v>
      </c>
      <c r="H311" s="5">
        <v>54</v>
      </c>
      <c r="I311" s="6">
        <v>41468</v>
      </c>
      <c r="J311" s="7">
        <v>83639</v>
      </c>
      <c r="K311" s="9" t="s">
        <v>1310</v>
      </c>
      <c r="L311" s="9" t="s">
        <v>1323</v>
      </c>
      <c r="M311">
        <f t="shared" ca="1" si="8"/>
        <v>12</v>
      </c>
      <c r="N311">
        <f t="shared" ca="1" si="9"/>
        <v>8</v>
      </c>
    </row>
    <row r="312" spans="1:14" x14ac:dyDescent="0.3">
      <c r="A312" s="5" t="s">
        <v>160</v>
      </c>
      <c r="B312" s="9" t="s">
        <v>161</v>
      </c>
      <c r="C312" s="9" t="s">
        <v>23</v>
      </c>
      <c r="D312" s="9" t="s">
        <v>24</v>
      </c>
      <c r="E312" s="9" t="s">
        <v>25</v>
      </c>
      <c r="F312" s="9" t="s">
        <v>17</v>
      </c>
      <c r="G312" s="9" t="s">
        <v>73</v>
      </c>
      <c r="H312" s="5">
        <v>37</v>
      </c>
      <c r="I312" s="6">
        <v>43493</v>
      </c>
      <c r="J312" s="7">
        <v>165927</v>
      </c>
      <c r="K312" s="9" t="s">
        <v>19</v>
      </c>
      <c r="L312" s="9" t="s">
        <v>37</v>
      </c>
      <c r="M312">
        <f t="shared" ca="1" si="8"/>
        <v>6</v>
      </c>
      <c r="N312">
        <f t="shared" ca="1" si="9"/>
        <v>4</v>
      </c>
    </row>
    <row r="313" spans="1:14" x14ac:dyDescent="0.3">
      <c r="A313" s="5" t="s">
        <v>160</v>
      </c>
      <c r="B313" s="9" t="s">
        <v>698</v>
      </c>
      <c r="C313" s="9" t="s">
        <v>30</v>
      </c>
      <c r="D313" s="9" t="s">
        <v>15</v>
      </c>
      <c r="E313" s="9" t="s">
        <v>31</v>
      </c>
      <c r="F313" s="9" t="s">
        <v>35</v>
      </c>
      <c r="G313" s="9" t="s">
        <v>26</v>
      </c>
      <c r="H313" s="5">
        <v>28</v>
      </c>
      <c r="I313" s="6">
        <v>44051</v>
      </c>
      <c r="J313" s="7">
        <v>73255</v>
      </c>
      <c r="K313" s="9" t="s">
        <v>19</v>
      </c>
      <c r="L313" s="9" t="s">
        <v>37</v>
      </c>
      <c r="M313">
        <f t="shared" ca="1" si="8"/>
        <v>5</v>
      </c>
      <c r="N313">
        <f t="shared" ca="1" si="9"/>
        <v>3</v>
      </c>
    </row>
    <row r="314" spans="1:14" x14ac:dyDescent="0.3">
      <c r="A314" s="5" t="s">
        <v>267</v>
      </c>
      <c r="B314" s="9" t="s">
        <v>268</v>
      </c>
      <c r="C314" s="9" t="s">
        <v>142</v>
      </c>
      <c r="D314" s="9" t="s">
        <v>60</v>
      </c>
      <c r="E314" s="9" t="s">
        <v>25</v>
      </c>
      <c r="F314" s="9" t="s">
        <v>35</v>
      </c>
      <c r="G314" s="9" t="s">
        <v>36</v>
      </c>
      <c r="H314" s="5">
        <v>34</v>
      </c>
      <c r="I314" s="6">
        <v>43055</v>
      </c>
      <c r="J314" s="7">
        <v>110054</v>
      </c>
      <c r="K314" s="9" t="s">
        <v>19</v>
      </c>
      <c r="L314" s="9" t="s">
        <v>45</v>
      </c>
      <c r="M314">
        <f t="shared" ca="1" si="8"/>
        <v>8</v>
      </c>
      <c r="N314">
        <f t="shared" ca="1" si="9"/>
        <v>5.5</v>
      </c>
    </row>
    <row r="315" spans="1:14" x14ac:dyDescent="0.3">
      <c r="A315" s="5" t="s">
        <v>1929</v>
      </c>
      <c r="B315" s="9" t="s">
        <v>1930</v>
      </c>
      <c r="C315" s="9" t="s">
        <v>142</v>
      </c>
      <c r="D315" s="9" t="s">
        <v>60</v>
      </c>
      <c r="E315" s="9" t="s">
        <v>31</v>
      </c>
      <c r="F315" s="9" t="s">
        <v>17</v>
      </c>
      <c r="G315" s="9" t="s">
        <v>73</v>
      </c>
      <c r="H315" s="5">
        <v>49</v>
      </c>
      <c r="I315" s="6">
        <v>42441</v>
      </c>
      <c r="J315" s="7">
        <v>100810</v>
      </c>
      <c r="K315" s="9" t="s">
        <v>1717</v>
      </c>
      <c r="L315" s="9" t="s">
        <v>1721</v>
      </c>
      <c r="M315">
        <f t="shared" ca="1" si="8"/>
        <v>9</v>
      </c>
      <c r="N315">
        <f t="shared" ca="1" si="9"/>
        <v>5.5</v>
      </c>
    </row>
    <row r="316" spans="1:14" x14ac:dyDescent="0.3">
      <c r="A316" s="5" t="s">
        <v>1343</v>
      </c>
      <c r="B316" s="9" t="s">
        <v>1344</v>
      </c>
      <c r="C316" s="9" t="s">
        <v>139</v>
      </c>
      <c r="D316" s="9" t="s">
        <v>56</v>
      </c>
      <c r="E316" s="9" t="s">
        <v>31</v>
      </c>
      <c r="F316" s="9" t="s">
        <v>17</v>
      </c>
      <c r="G316" s="9" t="s">
        <v>36</v>
      </c>
      <c r="H316" s="5">
        <v>45</v>
      </c>
      <c r="I316" s="6">
        <v>37972</v>
      </c>
      <c r="J316" s="7">
        <v>48345</v>
      </c>
      <c r="K316" s="9" t="s">
        <v>1310</v>
      </c>
      <c r="L316" s="9" t="s">
        <v>1330</v>
      </c>
      <c r="M316">
        <f t="shared" ca="1" si="8"/>
        <v>21</v>
      </c>
      <c r="N316">
        <f t="shared" ca="1" si="9"/>
        <v>9.5</v>
      </c>
    </row>
    <row r="317" spans="1:14" x14ac:dyDescent="0.3">
      <c r="A317" s="5" t="s">
        <v>850</v>
      </c>
      <c r="B317" s="9" t="s">
        <v>851</v>
      </c>
      <c r="C317" s="9" t="s">
        <v>67</v>
      </c>
      <c r="D317" s="9" t="s">
        <v>15</v>
      </c>
      <c r="E317" s="9" t="s">
        <v>25</v>
      </c>
      <c r="F317" s="9" t="s">
        <v>35</v>
      </c>
      <c r="G317" s="9" t="s">
        <v>73</v>
      </c>
      <c r="H317" s="5">
        <v>54</v>
      </c>
      <c r="I317" s="6">
        <v>40040</v>
      </c>
      <c r="J317" s="7">
        <v>241083</v>
      </c>
      <c r="K317" s="9" t="s">
        <v>19</v>
      </c>
      <c r="L317" s="9" t="s">
        <v>76</v>
      </c>
      <c r="M317">
        <f t="shared" ca="1" si="8"/>
        <v>16</v>
      </c>
      <c r="N317">
        <f t="shared" ca="1" si="9"/>
        <v>8</v>
      </c>
    </row>
    <row r="318" spans="1:14" x14ac:dyDescent="0.3">
      <c r="A318" s="5" t="s">
        <v>647</v>
      </c>
      <c r="B318" s="9" t="s">
        <v>648</v>
      </c>
      <c r="C318" s="9" t="s">
        <v>30</v>
      </c>
      <c r="D318" s="9" t="s">
        <v>15</v>
      </c>
      <c r="E318" s="9" t="s">
        <v>41</v>
      </c>
      <c r="F318" s="9" t="s">
        <v>35</v>
      </c>
      <c r="G318" s="9" t="s">
        <v>18</v>
      </c>
      <c r="H318" s="5">
        <v>31</v>
      </c>
      <c r="I318" s="6">
        <v>42656</v>
      </c>
      <c r="J318" s="7">
        <v>63744</v>
      </c>
      <c r="K318" s="9" t="s">
        <v>19</v>
      </c>
      <c r="L318" s="9" t="s">
        <v>51</v>
      </c>
      <c r="M318">
        <f t="shared" ca="1" si="8"/>
        <v>9</v>
      </c>
      <c r="N318">
        <f t="shared" ca="1" si="9"/>
        <v>5.5</v>
      </c>
    </row>
    <row r="319" spans="1:14" x14ac:dyDescent="0.3">
      <c r="A319" s="5" t="s">
        <v>170</v>
      </c>
      <c r="B319" s="9" t="s">
        <v>171</v>
      </c>
      <c r="C319" s="9" t="s">
        <v>142</v>
      </c>
      <c r="D319" s="9" t="s">
        <v>60</v>
      </c>
      <c r="E319" s="9" t="s">
        <v>16</v>
      </c>
      <c r="F319" s="9" t="s">
        <v>35</v>
      </c>
      <c r="G319" s="9" t="s">
        <v>26</v>
      </c>
      <c r="H319" s="5">
        <v>53</v>
      </c>
      <c r="I319" s="6">
        <v>33702</v>
      </c>
      <c r="J319" s="7">
        <v>116878</v>
      </c>
      <c r="K319" s="9" t="s">
        <v>19</v>
      </c>
      <c r="L319" s="9" t="s">
        <v>45</v>
      </c>
      <c r="M319">
        <f t="shared" ca="1" si="8"/>
        <v>33</v>
      </c>
      <c r="N319">
        <f t="shared" ca="1" si="9"/>
        <v>15</v>
      </c>
    </row>
    <row r="320" spans="1:14" x14ac:dyDescent="0.3">
      <c r="A320" s="5" t="s">
        <v>170</v>
      </c>
      <c r="B320" s="9" t="s">
        <v>1794</v>
      </c>
      <c r="C320" s="9" t="s">
        <v>30</v>
      </c>
      <c r="D320" s="9" t="s">
        <v>15</v>
      </c>
      <c r="E320" s="9" t="s">
        <v>31</v>
      </c>
      <c r="F320" s="9" t="s">
        <v>17</v>
      </c>
      <c r="G320" s="9" t="s">
        <v>73</v>
      </c>
      <c r="H320" s="5">
        <v>32</v>
      </c>
      <c r="I320" s="6">
        <v>43010</v>
      </c>
      <c r="J320" s="7">
        <v>61886</v>
      </c>
      <c r="K320" s="9" t="s">
        <v>1717</v>
      </c>
      <c r="L320" s="9" t="s">
        <v>1721</v>
      </c>
      <c r="M320">
        <f t="shared" ca="1" si="8"/>
        <v>8</v>
      </c>
      <c r="N320">
        <f t="shared" ca="1" si="9"/>
        <v>5.5</v>
      </c>
    </row>
    <row r="321" spans="1:14" x14ac:dyDescent="0.3">
      <c r="A321" s="5" t="s">
        <v>254</v>
      </c>
      <c r="B321" s="9" t="s">
        <v>255</v>
      </c>
      <c r="C321" s="9" t="s">
        <v>34</v>
      </c>
      <c r="D321" s="9" t="s">
        <v>79</v>
      </c>
      <c r="E321" s="9" t="s">
        <v>25</v>
      </c>
      <c r="F321" s="9" t="s">
        <v>17</v>
      </c>
      <c r="G321" s="9" t="s">
        <v>26</v>
      </c>
      <c r="H321" s="5">
        <v>49</v>
      </c>
      <c r="I321" s="6">
        <v>35200</v>
      </c>
      <c r="J321" s="7">
        <v>86658</v>
      </c>
      <c r="K321" s="9" t="s">
        <v>19</v>
      </c>
      <c r="L321" s="9" t="s">
        <v>37</v>
      </c>
      <c r="M321">
        <f t="shared" ca="1" si="8"/>
        <v>29</v>
      </c>
      <c r="N321">
        <f t="shared" ca="1" si="9"/>
        <v>10</v>
      </c>
    </row>
    <row r="322" spans="1:14" x14ac:dyDescent="0.3">
      <c r="A322" s="5" t="s">
        <v>1737</v>
      </c>
      <c r="B322" s="9" t="s">
        <v>1738</v>
      </c>
      <c r="C322" s="9" t="s">
        <v>88</v>
      </c>
      <c r="D322" s="9" t="s">
        <v>15</v>
      </c>
      <c r="E322" s="9" t="s">
        <v>31</v>
      </c>
      <c r="F322" s="9" t="s">
        <v>35</v>
      </c>
      <c r="G322" s="9" t="s">
        <v>73</v>
      </c>
      <c r="H322" s="5">
        <v>36</v>
      </c>
      <c r="I322" s="6">
        <v>40535</v>
      </c>
      <c r="J322" s="7">
        <v>53215</v>
      </c>
      <c r="K322" s="9" t="s">
        <v>1717</v>
      </c>
      <c r="L322" s="9" t="s">
        <v>1736</v>
      </c>
      <c r="M322">
        <f t="shared" ca="1" si="8"/>
        <v>14</v>
      </c>
      <c r="N322">
        <f t="shared" ca="1" si="9"/>
        <v>8</v>
      </c>
    </row>
    <row r="323" spans="1:14" x14ac:dyDescent="0.3">
      <c r="A323" s="5" t="s">
        <v>1390</v>
      </c>
      <c r="B323" s="9" t="s">
        <v>1391</v>
      </c>
      <c r="C323" s="9" t="s">
        <v>67</v>
      </c>
      <c r="D323" s="9" t="s">
        <v>24</v>
      </c>
      <c r="E323" s="9" t="s">
        <v>25</v>
      </c>
      <c r="F323" s="9" t="s">
        <v>17</v>
      </c>
      <c r="G323" s="9" t="s">
        <v>36</v>
      </c>
      <c r="H323" s="5">
        <v>43</v>
      </c>
      <c r="I323" s="6">
        <v>38564</v>
      </c>
      <c r="J323" s="7">
        <v>249686</v>
      </c>
      <c r="K323" s="9" t="s">
        <v>1310</v>
      </c>
      <c r="L323" s="9" t="s">
        <v>1311</v>
      </c>
      <c r="M323">
        <f t="shared" ref="M323:M386" ca="1" si="10">DATEDIF(I323,TODAY(),"Y")</f>
        <v>20</v>
      </c>
      <c r="N323">
        <f t="shared" ref="N323:N386" ca="1" si="11">_xlfn.XLOOKUP(M323,$Q$3:$Q$11,$R$3:$R$11,0,-1)</f>
        <v>9.5</v>
      </c>
    </row>
    <row r="324" spans="1:14" x14ac:dyDescent="0.3">
      <c r="A324" s="5" t="s">
        <v>38</v>
      </c>
      <c r="B324" s="9" t="s">
        <v>39</v>
      </c>
      <c r="C324" s="9" t="s">
        <v>40</v>
      </c>
      <c r="D324" s="9" t="s">
        <v>15</v>
      </c>
      <c r="E324" s="9" t="s">
        <v>41</v>
      </c>
      <c r="F324" s="9" t="s">
        <v>17</v>
      </c>
      <c r="G324" s="9" t="s">
        <v>26</v>
      </c>
      <c r="H324" s="5">
        <v>27</v>
      </c>
      <c r="I324" s="6">
        <v>44013</v>
      </c>
      <c r="J324" s="7">
        <v>119746</v>
      </c>
      <c r="K324" s="9" t="s">
        <v>19</v>
      </c>
      <c r="L324" s="9" t="s">
        <v>37</v>
      </c>
      <c r="M324">
        <f t="shared" ca="1" si="10"/>
        <v>5</v>
      </c>
      <c r="N324">
        <f t="shared" ca="1" si="11"/>
        <v>3</v>
      </c>
    </row>
    <row r="325" spans="1:14" x14ac:dyDescent="0.3">
      <c r="A325" s="5" t="s">
        <v>1294</v>
      </c>
      <c r="B325" s="9" t="s">
        <v>1295</v>
      </c>
      <c r="C325" s="9" t="s">
        <v>14</v>
      </c>
      <c r="D325" s="9" t="s">
        <v>15</v>
      </c>
      <c r="E325" s="9" t="s">
        <v>16</v>
      </c>
      <c r="F325" s="9" t="s">
        <v>35</v>
      </c>
      <c r="G325" s="9" t="s">
        <v>36</v>
      </c>
      <c r="H325" s="5">
        <v>37</v>
      </c>
      <c r="I325" s="6">
        <v>40511</v>
      </c>
      <c r="J325" s="7">
        <v>146961</v>
      </c>
      <c r="K325" s="9" t="s">
        <v>19</v>
      </c>
      <c r="L325" s="9" t="s">
        <v>76</v>
      </c>
      <c r="M325">
        <f t="shared" ca="1" si="10"/>
        <v>15</v>
      </c>
      <c r="N325">
        <f t="shared" ca="1" si="11"/>
        <v>8</v>
      </c>
    </row>
    <row r="326" spans="1:14" x14ac:dyDescent="0.3">
      <c r="A326" s="5" t="s">
        <v>1157</v>
      </c>
      <c r="B326" s="9" t="s">
        <v>1158</v>
      </c>
      <c r="C326" s="9" t="s">
        <v>14</v>
      </c>
      <c r="D326" s="9" t="s">
        <v>79</v>
      </c>
      <c r="E326" s="9" t="s">
        <v>16</v>
      </c>
      <c r="F326" s="9" t="s">
        <v>35</v>
      </c>
      <c r="G326" s="9" t="s">
        <v>26</v>
      </c>
      <c r="H326" s="5">
        <v>53</v>
      </c>
      <c r="I326" s="6">
        <v>41931</v>
      </c>
      <c r="J326" s="7">
        <v>159538</v>
      </c>
      <c r="K326" s="9" t="s">
        <v>19</v>
      </c>
      <c r="L326" s="9" t="s">
        <v>45</v>
      </c>
      <c r="M326">
        <f t="shared" ca="1" si="10"/>
        <v>11</v>
      </c>
      <c r="N326">
        <f t="shared" ca="1" si="11"/>
        <v>5.5</v>
      </c>
    </row>
    <row r="327" spans="1:14" x14ac:dyDescent="0.3">
      <c r="A327" s="5" t="s">
        <v>519</v>
      </c>
      <c r="B327" s="9" t="s">
        <v>520</v>
      </c>
      <c r="C327" s="9" t="s">
        <v>67</v>
      </c>
      <c r="D327" s="9" t="s">
        <v>68</v>
      </c>
      <c r="E327" s="9" t="s">
        <v>25</v>
      </c>
      <c r="F327" s="9" t="s">
        <v>35</v>
      </c>
      <c r="G327" s="9" t="s">
        <v>36</v>
      </c>
      <c r="H327" s="5">
        <v>38</v>
      </c>
      <c r="I327" s="6">
        <v>44433</v>
      </c>
      <c r="J327" s="7">
        <v>255230</v>
      </c>
      <c r="K327" s="9" t="s">
        <v>19</v>
      </c>
      <c r="L327" s="9" t="s">
        <v>51</v>
      </c>
      <c r="M327">
        <f t="shared" ca="1" si="10"/>
        <v>4</v>
      </c>
      <c r="N327">
        <f t="shared" ca="1" si="11"/>
        <v>3</v>
      </c>
    </row>
    <row r="328" spans="1:14" x14ac:dyDescent="0.3">
      <c r="A328" s="5" t="s">
        <v>519</v>
      </c>
      <c r="B328" s="9" t="s">
        <v>1767</v>
      </c>
      <c r="C328" s="9" t="s">
        <v>14</v>
      </c>
      <c r="D328" s="9" t="s">
        <v>56</v>
      </c>
      <c r="E328" s="9" t="s">
        <v>16</v>
      </c>
      <c r="F328" s="9" t="s">
        <v>35</v>
      </c>
      <c r="G328" s="9" t="s">
        <v>73</v>
      </c>
      <c r="H328" s="5">
        <v>29</v>
      </c>
      <c r="I328" s="6">
        <v>43594</v>
      </c>
      <c r="J328" s="7">
        <v>125828</v>
      </c>
      <c r="K328" s="9" t="s">
        <v>1717</v>
      </c>
      <c r="L328" s="9" t="s">
        <v>1736</v>
      </c>
      <c r="M328">
        <f t="shared" ca="1" si="10"/>
        <v>6</v>
      </c>
      <c r="N328">
        <f t="shared" ca="1" si="11"/>
        <v>4</v>
      </c>
    </row>
    <row r="329" spans="1:14" x14ac:dyDescent="0.3">
      <c r="A329" s="5" t="s">
        <v>862</v>
      </c>
      <c r="B329" s="9" t="s">
        <v>863</v>
      </c>
      <c r="C329" s="9" t="s">
        <v>101</v>
      </c>
      <c r="D329" s="9" t="s">
        <v>15</v>
      </c>
      <c r="E329" s="9" t="s">
        <v>41</v>
      </c>
      <c r="F329" s="9" t="s">
        <v>17</v>
      </c>
      <c r="G329" s="9" t="s">
        <v>36</v>
      </c>
      <c r="H329" s="5">
        <v>57</v>
      </c>
      <c r="I329" s="6">
        <v>33728</v>
      </c>
      <c r="J329" s="7">
        <v>76202</v>
      </c>
      <c r="K329" s="9" t="s">
        <v>19</v>
      </c>
      <c r="L329" s="9" t="s">
        <v>51</v>
      </c>
      <c r="M329">
        <f t="shared" ca="1" si="10"/>
        <v>33</v>
      </c>
      <c r="N329">
        <f t="shared" ca="1" si="11"/>
        <v>15</v>
      </c>
    </row>
    <row r="330" spans="1:14" x14ac:dyDescent="0.3">
      <c r="A330" s="5" t="s">
        <v>1694</v>
      </c>
      <c r="B330" s="9" t="s">
        <v>1695</v>
      </c>
      <c r="C330" s="9" t="s">
        <v>30</v>
      </c>
      <c r="D330" s="9" t="s">
        <v>15</v>
      </c>
      <c r="E330" s="9" t="s">
        <v>25</v>
      </c>
      <c r="F330" s="9" t="s">
        <v>17</v>
      </c>
      <c r="G330" s="9" t="s">
        <v>36</v>
      </c>
      <c r="H330" s="5">
        <v>36</v>
      </c>
      <c r="I330" s="6">
        <v>41972</v>
      </c>
      <c r="J330" s="7">
        <v>88730</v>
      </c>
      <c r="K330" s="9" t="s">
        <v>1310</v>
      </c>
      <c r="L330" s="9" t="s">
        <v>1311</v>
      </c>
      <c r="M330">
        <f t="shared" ca="1" si="10"/>
        <v>11</v>
      </c>
      <c r="N330">
        <f t="shared" ca="1" si="11"/>
        <v>5.5</v>
      </c>
    </row>
    <row r="331" spans="1:14" x14ac:dyDescent="0.3">
      <c r="A331" s="5" t="s">
        <v>97</v>
      </c>
      <c r="B331" s="9" t="s">
        <v>98</v>
      </c>
      <c r="C331" s="9" t="s">
        <v>67</v>
      </c>
      <c r="D331" s="9" t="s">
        <v>68</v>
      </c>
      <c r="E331" s="9" t="s">
        <v>16</v>
      </c>
      <c r="F331" s="9" t="s">
        <v>35</v>
      </c>
      <c r="G331" s="9" t="s">
        <v>26</v>
      </c>
      <c r="H331" s="5">
        <v>27</v>
      </c>
      <c r="I331" s="6">
        <v>43758</v>
      </c>
      <c r="J331" s="7">
        <v>256420</v>
      </c>
      <c r="K331" s="9" t="s">
        <v>19</v>
      </c>
      <c r="L331" s="9" t="s">
        <v>37</v>
      </c>
      <c r="M331">
        <f t="shared" ca="1" si="10"/>
        <v>6</v>
      </c>
      <c r="N331">
        <f t="shared" ca="1" si="11"/>
        <v>4</v>
      </c>
    </row>
    <row r="332" spans="1:14" x14ac:dyDescent="0.3">
      <c r="A332" s="5" t="s">
        <v>1392</v>
      </c>
      <c r="B332" s="9" t="s">
        <v>1393</v>
      </c>
      <c r="C332" s="9" t="s">
        <v>34</v>
      </c>
      <c r="D332" s="9" t="s">
        <v>68</v>
      </c>
      <c r="E332" s="9" t="s">
        <v>25</v>
      </c>
      <c r="F332" s="9" t="s">
        <v>17</v>
      </c>
      <c r="G332" s="9" t="s">
        <v>36</v>
      </c>
      <c r="H332" s="5">
        <v>47</v>
      </c>
      <c r="I332" s="6">
        <v>42928</v>
      </c>
      <c r="J332" s="7">
        <v>70996</v>
      </c>
      <c r="K332" s="9" t="s">
        <v>1310</v>
      </c>
      <c r="L332" s="9" t="s">
        <v>1330</v>
      </c>
      <c r="M332">
        <f t="shared" ca="1" si="10"/>
        <v>8</v>
      </c>
      <c r="N332">
        <f t="shared" ca="1" si="11"/>
        <v>5.5</v>
      </c>
    </row>
    <row r="333" spans="1:14" x14ac:dyDescent="0.3">
      <c r="A333" s="5" t="s">
        <v>134</v>
      </c>
      <c r="B333" s="9" t="s">
        <v>135</v>
      </c>
      <c r="C333" s="9" t="s">
        <v>136</v>
      </c>
      <c r="D333" s="9" t="s">
        <v>60</v>
      </c>
      <c r="E333" s="9" t="s">
        <v>31</v>
      </c>
      <c r="F333" s="9" t="s">
        <v>17</v>
      </c>
      <c r="G333" s="9" t="s">
        <v>36</v>
      </c>
      <c r="H333" s="5">
        <v>46</v>
      </c>
      <c r="I333" s="6">
        <v>37041</v>
      </c>
      <c r="J333" s="7">
        <v>90678</v>
      </c>
      <c r="K333" s="9" t="s">
        <v>19</v>
      </c>
      <c r="L333" s="9" t="s">
        <v>76</v>
      </c>
      <c r="M333">
        <f t="shared" ca="1" si="10"/>
        <v>24</v>
      </c>
      <c r="N333">
        <f t="shared" ca="1" si="11"/>
        <v>9.5</v>
      </c>
    </row>
    <row r="334" spans="1:14" x14ac:dyDescent="0.3">
      <c r="A334" s="5" t="s">
        <v>908</v>
      </c>
      <c r="B334" s="9" t="s">
        <v>909</v>
      </c>
      <c r="C334" s="9" t="s">
        <v>40</v>
      </c>
      <c r="D334" s="9" t="s">
        <v>68</v>
      </c>
      <c r="E334" s="9" t="s">
        <v>41</v>
      </c>
      <c r="F334" s="9" t="s">
        <v>17</v>
      </c>
      <c r="G334" s="9" t="s">
        <v>26</v>
      </c>
      <c r="H334" s="5">
        <v>29</v>
      </c>
      <c r="I334" s="6">
        <v>42676</v>
      </c>
      <c r="J334" s="7">
        <v>122054</v>
      </c>
      <c r="K334" s="9" t="s">
        <v>19</v>
      </c>
      <c r="L334" s="9" t="s">
        <v>37</v>
      </c>
      <c r="M334">
        <f t="shared" ca="1" si="10"/>
        <v>9</v>
      </c>
      <c r="N334">
        <f t="shared" ca="1" si="11"/>
        <v>5.5</v>
      </c>
    </row>
    <row r="335" spans="1:14" x14ac:dyDescent="0.3">
      <c r="A335" s="5" t="s">
        <v>1443</v>
      </c>
      <c r="B335" s="9" t="s">
        <v>1599</v>
      </c>
      <c r="C335" s="9" t="s">
        <v>44</v>
      </c>
      <c r="D335" s="9" t="s">
        <v>24</v>
      </c>
      <c r="E335" s="9" t="s">
        <v>25</v>
      </c>
      <c r="F335" s="9" t="s">
        <v>17</v>
      </c>
      <c r="G335" s="9" t="s">
        <v>36</v>
      </c>
      <c r="H335" s="5">
        <v>62</v>
      </c>
      <c r="I335" s="6">
        <v>37519</v>
      </c>
      <c r="J335" s="7">
        <v>49738</v>
      </c>
      <c r="K335" s="9" t="s">
        <v>1310</v>
      </c>
      <c r="L335" s="9" t="s">
        <v>1323</v>
      </c>
      <c r="M335">
        <f t="shared" ca="1" si="10"/>
        <v>23</v>
      </c>
      <c r="N335">
        <f t="shared" ca="1" si="11"/>
        <v>9.5</v>
      </c>
    </row>
    <row r="336" spans="1:14" x14ac:dyDescent="0.3">
      <c r="A336" s="5" t="s">
        <v>1443</v>
      </c>
      <c r="B336" s="9" t="s">
        <v>1444</v>
      </c>
      <c r="C336" s="9" t="s">
        <v>577</v>
      </c>
      <c r="D336" s="9" t="s">
        <v>15</v>
      </c>
      <c r="E336" s="9" t="s">
        <v>41</v>
      </c>
      <c r="F336" s="9" t="s">
        <v>17</v>
      </c>
      <c r="G336" s="9" t="s">
        <v>36</v>
      </c>
      <c r="H336" s="5">
        <v>45</v>
      </c>
      <c r="I336" s="6">
        <v>40418</v>
      </c>
      <c r="J336" s="7">
        <v>82162</v>
      </c>
      <c r="K336" s="9" t="s">
        <v>1310</v>
      </c>
      <c r="L336" s="9" t="s">
        <v>1323</v>
      </c>
      <c r="M336">
        <f t="shared" ca="1" si="10"/>
        <v>15</v>
      </c>
      <c r="N336">
        <f t="shared" ca="1" si="11"/>
        <v>8</v>
      </c>
    </row>
    <row r="337" spans="1:14" x14ac:dyDescent="0.3">
      <c r="A337" s="5" t="s">
        <v>32</v>
      </c>
      <c r="B337" s="9" t="s">
        <v>33</v>
      </c>
      <c r="C337" s="9" t="s">
        <v>34</v>
      </c>
      <c r="D337" s="9" t="s">
        <v>24</v>
      </c>
      <c r="E337" s="9" t="s">
        <v>31</v>
      </c>
      <c r="F337" s="9" t="s">
        <v>35</v>
      </c>
      <c r="G337" s="9" t="s">
        <v>36</v>
      </c>
      <c r="H337" s="5">
        <v>55</v>
      </c>
      <c r="I337" s="6">
        <v>35023</v>
      </c>
      <c r="J337" s="7">
        <v>95409</v>
      </c>
      <c r="K337" s="9" t="s">
        <v>19</v>
      </c>
      <c r="L337" s="9" t="s">
        <v>37</v>
      </c>
      <c r="M337">
        <f t="shared" ca="1" si="10"/>
        <v>30</v>
      </c>
      <c r="N337">
        <f t="shared" ca="1" si="11"/>
        <v>15</v>
      </c>
    </row>
    <row r="338" spans="1:14" x14ac:dyDescent="0.3">
      <c r="A338" s="5" t="s">
        <v>32</v>
      </c>
      <c r="B338" s="9" t="s">
        <v>818</v>
      </c>
      <c r="C338" s="9" t="s">
        <v>44</v>
      </c>
      <c r="D338" s="9" t="s">
        <v>24</v>
      </c>
      <c r="E338" s="9" t="s">
        <v>31</v>
      </c>
      <c r="F338" s="9" t="s">
        <v>17</v>
      </c>
      <c r="G338" s="9" t="s">
        <v>26</v>
      </c>
      <c r="H338" s="5">
        <v>55</v>
      </c>
      <c r="I338" s="6">
        <v>44302</v>
      </c>
      <c r="J338" s="7">
        <v>48266</v>
      </c>
      <c r="K338" s="9" t="s">
        <v>19</v>
      </c>
      <c r="L338" s="9" t="s">
        <v>27</v>
      </c>
      <c r="M338">
        <f t="shared" ca="1" si="10"/>
        <v>4</v>
      </c>
      <c r="N338">
        <f t="shared" ca="1" si="11"/>
        <v>3</v>
      </c>
    </row>
    <row r="339" spans="1:14" x14ac:dyDescent="0.3">
      <c r="A339" s="5" t="s">
        <v>218</v>
      </c>
      <c r="B339" s="9" t="s">
        <v>219</v>
      </c>
      <c r="C339" s="9" t="s">
        <v>14</v>
      </c>
      <c r="D339" s="9" t="s">
        <v>15</v>
      </c>
      <c r="E339" s="9" t="s">
        <v>31</v>
      </c>
      <c r="F339" s="9" t="s">
        <v>17</v>
      </c>
      <c r="G339" s="9" t="s">
        <v>36</v>
      </c>
      <c r="H339" s="5">
        <v>49</v>
      </c>
      <c r="I339" s="6">
        <v>38825</v>
      </c>
      <c r="J339" s="7">
        <v>134486</v>
      </c>
      <c r="K339" s="9" t="s">
        <v>19</v>
      </c>
      <c r="L339" s="9" t="s">
        <v>51</v>
      </c>
      <c r="M339">
        <f t="shared" ca="1" si="10"/>
        <v>19</v>
      </c>
      <c r="N339">
        <f t="shared" ca="1" si="11"/>
        <v>9.5</v>
      </c>
    </row>
    <row r="340" spans="1:14" x14ac:dyDescent="0.3">
      <c r="A340" s="5" t="s">
        <v>1905</v>
      </c>
      <c r="B340" s="9" t="s">
        <v>1906</v>
      </c>
      <c r="C340" s="9" t="s">
        <v>30</v>
      </c>
      <c r="D340" s="9" t="s">
        <v>15</v>
      </c>
      <c r="E340" s="9" t="s">
        <v>31</v>
      </c>
      <c r="F340" s="9" t="s">
        <v>17</v>
      </c>
      <c r="G340" s="9" t="s">
        <v>73</v>
      </c>
      <c r="H340" s="5">
        <v>46</v>
      </c>
      <c r="I340" s="6">
        <v>42849</v>
      </c>
      <c r="J340" s="7">
        <v>77461</v>
      </c>
      <c r="K340" s="9" t="s">
        <v>1717</v>
      </c>
      <c r="L340" s="9" t="s">
        <v>1736</v>
      </c>
      <c r="M340">
        <f t="shared" ca="1" si="10"/>
        <v>8</v>
      </c>
      <c r="N340">
        <f t="shared" ca="1" si="11"/>
        <v>5.5</v>
      </c>
    </row>
    <row r="341" spans="1:14" x14ac:dyDescent="0.3">
      <c r="A341" s="5" t="s">
        <v>1965</v>
      </c>
      <c r="B341" s="9" t="s">
        <v>1966</v>
      </c>
      <c r="C341" s="9" t="s">
        <v>14</v>
      </c>
      <c r="D341" s="9" t="s">
        <v>79</v>
      </c>
      <c r="E341" s="9" t="s">
        <v>41</v>
      </c>
      <c r="F341" s="9" t="s">
        <v>17</v>
      </c>
      <c r="G341" s="9" t="s">
        <v>73</v>
      </c>
      <c r="H341" s="5">
        <v>27</v>
      </c>
      <c r="I341" s="6">
        <v>43721</v>
      </c>
      <c r="J341" s="7">
        <v>133297</v>
      </c>
      <c r="K341" s="9" t="s">
        <v>1717</v>
      </c>
      <c r="L341" s="9" t="s">
        <v>1721</v>
      </c>
      <c r="M341">
        <f t="shared" ca="1" si="10"/>
        <v>6</v>
      </c>
      <c r="N341">
        <f t="shared" ca="1" si="11"/>
        <v>4</v>
      </c>
    </row>
    <row r="342" spans="1:14" x14ac:dyDescent="0.3">
      <c r="A342" s="5" t="s">
        <v>1561</v>
      </c>
      <c r="B342" s="9" t="s">
        <v>1562</v>
      </c>
      <c r="C342" s="9" t="s">
        <v>23</v>
      </c>
      <c r="D342" s="9" t="s">
        <v>24</v>
      </c>
      <c r="E342" s="9" t="s">
        <v>41</v>
      </c>
      <c r="F342" s="9" t="s">
        <v>17</v>
      </c>
      <c r="G342" s="9" t="s">
        <v>36</v>
      </c>
      <c r="H342" s="5">
        <v>53</v>
      </c>
      <c r="I342" s="6">
        <v>37304</v>
      </c>
      <c r="J342" s="7">
        <v>179494</v>
      </c>
      <c r="K342" s="9" t="s">
        <v>1310</v>
      </c>
      <c r="L342" s="9" t="s">
        <v>1311</v>
      </c>
      <c r="M342">
        <f t="shared" ca="1" si="10"/>
        <v>23</v>
      </c>
      <c r="N342">
        <f t="shared" ca="1" si="11"/>
        <v>9.5</v>
      </c>
    </row>
    <row r="343" spans="1:14" x14ac:dyDescent="0.3">
      <c r="A343" s="5" t="s">
        <v>1147</v>
      </c>
      <c r="B343" s="9" t="s">
        <v>1148</v>
      </c>
      <c r="C343" s="9" t="s">
        <v>130</v>
      </c>
      <c r="D343" s="9" t="s">
        <v>60</v>
      </c>
      <c r="E343" s="9" t="s">
        <v>31</v>
      </c>
      <c r="F343" s="9" t="s">
        <v>35</v>
      </c>
      <c r="G343" s="9" t="s">
        <v>36</v>
      </c>
      <c r="H343" s="5">
        <v>64</v>
      </c>
      <c r="I343" s="6">
        <v>43527</v>
      </c>
      <c r="J343" s="7">
        <v>67114</v>
      </c>
      <c r="K343" s="9" t="s">
        <v>19</v>
      </c>
      <c r="L343" s="9" t="s">
        <v>37</v>
      </c>
      <c r="M343">
        <f t="shared" ca="1" si="10"/>
        <v>6</v>
      </c>
      <c r="N343">
        <f t="shared" ca="1" si="11"/>
        <v>4</v>
      </c>
    </row>
    <row r="344" spans="1:14" x14ac:dyDescent="0.3">
      <c r="A344" s="5" t="s">
        <v>1419</v>
      </c>
      <c r="B344" s="9" t="s">
        <v>1420</v>
      </c>
      <c r="C344" s="9" t="s">
        <v>121</v>
      </c>
      <c r="D344" s="9" t="s">
        <v>56</v>
      </c>
      <c r="E344" s="9" t="s">
        <v>16</v>
      </c>
      <c r="F344" s="9" t="s">
        <v>35</v>
      </c>
      <c r="G344" s="9" t="s">
        <v>36</v>
      </c>
      <c r="H344" s="5">
        <v>41</v>
      </c>
      <c r="I344" s="6">
        <v>39379</v>
      </c>
      <c r="J344" s="7">
        <v>51630</v>
      </c>
      <c r="K344" s="9" t="s">
        <v>1310</v>
      </c>
      <c r="L344" s="9" t="s">
        <v>1323</v>
      </c>
      <c r="M344">
        <f t="shared" ca="1" si="10"/>
        <v>18</v>
      </c>
      <c r="N344">
        <f t="shared" ca="1" si="11"/>
        <v>9.5</v>
      </c>
    </row>
    <row r="345" spans="1:14" x14ac:dyDescent="0.3">
      <c r="A345" s="5" t="s">
        <v>1632</v>
      </c>
      <c r="B345" s="9" t="s">
        <v>1633</v>
      </c>
      <c r="C345" s="9" t="s">
        <v>136</v>
      </c>
      <c r="D345" s="9" t="s">
        <v>60</v>
      </c>
      <c r="E345" s="9" t="s">
        <v>31</v>
      </c>
      <c r="F345" s="9" t="s">
        <v>17</v>
      </c>
      <c r="G345" s="9" t="s">
        <v>36</v>
      </c>
      <c r="H345" s="5">
        <v>45</v>
      </c>
      <c r="I345" s="6">
        <v>38057</v>
      </c>
      <c r="J345" s="7">
        <v>109422</v>
      </c>
      <c r="K345" s="9" t="s">
        <v>1310</v>
      </c>
      <c r="L345" s="9" t="s">
        <v>1311</v>
      </c>
      <c r="M345">
        <f t="shared" ca="1" si="10"/>
        <v>21</v>
      </c>
      <c r="N345">
        <f t="shared" ca="1" si="11"/>
        <v>9.5</v>
      </c>
    </row>
    <row r="346" spans="1:14" x14ac:dyDescent="0.3">
      <c r="A346" s="5" t="s">
        <v>547</v>
      </c>
      <c r="B346" s="9" t="s">
        <v>548</v>
      </c>
      <c r="C346" s="9" t="s">
        <v>91</v>
      </c>
      <c r="D346" s="9" t="s">
        <v>24</v>
      </c>
      <c r="E346" s="9" t="s">
        <v>25</v>
      </c>
      <c r="F346" s="9" t="s">
        <v>35</v>
      </c>
      <c r="G346" s="9" t="s">
        <v>26</v>
      </c>
      <c r="H346" s="5">
        <v>31</v>
      </c>
      <c r="I346" s="6">
        <v>44308</v>
      </c>
      <c r="J346" s="7">
        <v>74215</v>
      </c>
      <c r="K346" s="9" t="s">
        <v>19</v>
      </c>
      <c r="L346" s="9" t="s">
        <v>37</v>
      </c>
      <c r="M346">
        <f t="shared" ca="1" si="10"/>
        <v>4</v>
      </c>
      <c r="N346">
        <f t="shared" ca="1" si="11"/>
        <v>3</v>
      </c>
    </row>
    <row r="347" spans="1:14" x14ac:dyDescent="0.3">
      <c r="A347" s="5" t="s">
        <v>1578</v>
      </c>
      <c r="B347" s="9" t="s">
        <v>1579</v>
      </c>
      <c r="C347" s="9" t="s">
        <v>23</v>
      </c>
      <c r="D347" s="9" t="s">
        <v>68</v>
      </c>
      <c r="E347" s="9" t="s">
        <v>41</v>
      </c>
      <c r="F347" s="9" t="s">
        <v>35</v>
      </c>
      <c r="G347" s="9" t="s">
        <v>36</v>
      </c>
      <c r="H347" s="5">
        <v>45</v>
      </c>
      <c r="I347" s="6">
        <v>39519</v>
      </c>
      <c r="J347" s="7">
        <v>186138</v>
      </c>
      <c r="K347" s="9" t="s">
        <v>1310</v>
      </c>
      <c r="L347" s="9" t="s">
        <v>1311</v>
      </c>
      <c r="M347">
        <f t="shared" ca="1" si="10"/>
        <v>17</v>
      </c>
      <c r="N347">
        <f t="shared" ca="1" si="11"/>
        <v>8</v>
      </c>
    </row>
    <row r="348" spans="1:14" x14ac:dyDescent="0.3">
      <c r="A348" s="5" t="s">
        <v>1750</v>
      </c>
      <c r="B348" s="9" t="s">
        <v>1751</v>
      </c>
      <c r="C348" s="9" t="s">
        <v>130</v>
      </c>
      <c r="D348" s="9" t="s">
        <v>60</v>
      </c>
      <c r="E348" s="9" t="s">
        <v>25</v>
      </c>
      <c r="F348" s="9" t="s">
        <v>35</v>
      </c>
      <c r="G348" s="9" t="s">
        <v>73</v>
      </c>
      <c r="H348" s="5">
        <v>46</v>
      </c>
      <c r="I348" s="6">
        <v>36331</v>
      </c>
      <c r="J348" s="7">
        <v>96997</v>
      </c>
      <c r="K348" s="9" t="s">
        <v>1717</v>
      </c>
      <c r="L348" s="9" t="s">
        <v>1736</v>
      </c>
      <c r="M348">
        <f t="shared" ca="1" si="10"/>
        <v>26</v>
      </c>
      <c r="N348">
        <f t="shared" ca="1" si="11"/>
        <v>10</v>
      </c>
    </row>
    <row r="349" spans="1:14" x14ac:dyDescent="0.3">
      <c r="A349" s="5" t="s">
        <v>789</v>
      </c>
      <c r="B349" s="9" t="s">
        <v>790</v>
      </c>
      <c r="C349" s="9" t="s">
        <v>121</v>
      </c>
      <c r="D349" s="9" t="s">
        <v>56</v>
      </c>
      <c r="E349" s="9" t="s">
        <v>31</v>
      </c>
      <c r="F349" s="9" t="s">
        <v>17</v>
      </c>
      <c r="G349" s="9" t="s">
        <v>36</v>
      </c>
      <c r="H349" s="5">
        <v>44</v>
      </c>
      <c r="I349" s="6">
        <v>39841</v>
      </c>
      <c r="J349" s="7">
        <v>53301</v>
      </c>
      <c r="K349" s="9" t="s">
        <v>19</v>
      </c>
      <c r="L349" s="9" t="s">
        <v>20</v>
      </c>
      <c r="M349">
        <f t="shared" ca="1" si="10"/>
        <v>16</v>
      </c>
      <c r="N349">
        <f t="shared" ca="1" si="11"/>
        <v>8</v>
      </c>
    </row>
    <row r="350" spans="1:14" x14ac:dyDescent="0.3">
      <c r="A350" s="5" t="s">
        <v>1234</v>
      </c>
      <c r="B350" s="9" t="s">
        <v>1235</v>
      </c>
      <c r="C350" s="9" t="s">
        <v>40</v>
      </c>
      <c r="D350" s="9" t="s">
        <v>15</v>
      </c>
      <c r="E350" s="9" t="s">
        <v>31</v>
      </c>
      <c r="F350" s="9" t="s">
        <v>35</v>
      </c>
      <c r="G350" s="9" t="s">
        <v>36</v>
      </c>
      <c r="H350" s="5">
        <v>45</v>
      </c>
      <c r="I350" s="6">
        <v>42026</v>
      </c>
      <c r="J350" s="7">
        <v>101288</v>
      </c>
      <c r="K350" s="9" t="s">
        <v>19</v>
      </c>
      <c r="L350" s="9" t="s">
        <v>37</v>
      </c>
      <c r="M350">
        <f t="shared" ca="1" si="10"/>
        <v>10</v>
      </c>
      <c r="N350">
        <f t="shared" ca="1" si="11"/>
        <v>5.5</v>
      </c>
    </row>
    <row r="351" spans="1:14" x14ac:dyDescent="0.3">
      <c r="A351" s="5" t="s">
        <v>1878</v>
      </c>
      <c r="B351" s="9" t="s">
        <v>1879</v>
      </c>
      <c r="C351" s="9" t="s">
        <v>30</v>
      </c>
      <c r="D351" s="9" t="s">
        <v>15</v>
      </c>
      <c r="E351" s="9" t="s">
        <v>41</v>
      </c>
      <c r="F351" s="9" t="s">
        <v>35</v>
      </c>
      <c r="G351" s="9" t="s">
        <v>73</v>
      </c>
      <c r="H351" s="5">
        <v>36</v>
      </c>
      <c r="I351" s="6">
        <v>44192</v>
      </c>
      <c r="J351" s="7">
        <v>70165</v>
      </c>
      <c r="K351" s="9" t="s">
        <v>1717</v>
      </c>
      <c r="L351" s="9" t="s">
        <v>1718</v>
      </c>
      <c r="M351">
        <f t="shared" ca="1" si="10"/>
        <v>4</v>
      </c>
      <c r="N351">
        <f t="shared" ca="1" si="11"/>
        <v>3</v>
      </c>
    </row>
    <row r="352" spans="1:14" x14ac:dyDescent="0.3">
      <c r="A352" s="5" t="s">
        <v>1582</v>
      </c>
      <c r="B352" s="9" t="s">
        <v>1583</v>
      </c>
      <c r="C352" s="9" t="s">
        <v>40</v>
      </c>
      <c r="D352" s="9" t="s">
        <v>79</v>
      </c>
      <c r="E352" s="9" t="s">
        <v>25</v>
      </c>
      <c r="F352" s="9" t="s">
        <v>17</v>
      </c>
      <c r="G352" s="9" t="s">
        <v>36</v>
      </c>
      <c r="H352" s="5">
        <v>45</v>
      </c>
      <c r="I352" s="6">
        <v>40836</v>
      </c>
      <c r="J352" s="7">
        <v>123640</v>
      </c>
      <c r="K352" s="9" t="s">
        <v>1310</v>
      </c>
      <c r="L352" s="9" t="s">
        <v>1316</v>
      </c>
      <c r="M352">
        <f t="shared" ca="1" si="10"/>
        <v>14</v>
      </c>
      <c r="N352">
        <f t="shared" ca="1" si="11"/>
        <v>8</v>
      </c>
    </row>
    <row r="353" spans="1:14" x14ac:dyDescent="0.3">
      <c r="A353" s="5" t="s">
        <v>1244</v>
      </c>
      <c r="B353" s="9" t="s">
        <v>1245</v>
      </c>
      <c r="C353" s="9" t="s">
        <v>44</v>
      </c>
      <c r="D353" s="9" t="s">
        <v>50</v>
      </c>
      <c r="E353" s="9" t="s">
        <v>31</v>
      </c>
      <c r="F353" s="9" t="s">
        <v>35</v>
      </c>
      <c r="G353" s="9" t="s">
        <v>36</v>
      </c>
      <c r="H353" s="5">
        <v>29</v>
      </c>
      <c r="I353" s="6">
        <v>42602</v>
      </c>
      <c r="J353" s="7">
        <v>58703</v>
      </c>
      <c r="K353" s="9" t="s">
        <v>19</v>
      </c>
      <c r="L353" s="9" t="s">
        <v>76</v>
      </c>
      <c r="M353">
        <f t="shared" ca="1" si="10"/>
        <v>9</v>
      </c>
      <c r="N353">
        <f t="shared" ca="1" si="11"/>
        <v>5.5</v>
      </c>
    </row>
    <row r="354" spans="1:14" x14ac:dyDescent="0.3">
      <c r="A354" s="5" t="s">
        <v>460</v>
      </c>
      <c r="B354" s="9" t="s">
        <v>461</v>
      </c>
      <c r="C354" s="9" t="s">
        <v>40</v>
      </c>
      <c r="D354" s="9" t="s">
        <v>50</v>
      </c>
      <c r="E354" s="9" t="s">
        <v>25</v>
      </c>
      <c r="F354" s="9" t="s">
        <v>35</v>
      </c>
      <c r="G354" s="9" t="s">
        <v>36</v>
      </c>
      <c r="H354" s="5">
        <v>40</v>
      </c>
      <c r="I354" s="6">
        <v>43147</v>
      </c>
      <c r="J354" s="7">
        <v>120905</v>
      </c>
      <c r="K354" s="9" t="s">
        <v>19</v>
      </c>
      <c r="L354" s="9" t="s">
        <v>20</v>
      </c>
      <c r="M354">
        <f t="shared" ca="1" si="10"/>
        <v>7</v>
      </c>
      <c r="N354">
        <f t="shared" ca="1" si="11"/>
        <v>4</v>
      </c>
    </row>
    <row r="355" spans="1:14" x14ac:dyDescent="0.3">
      <c r="A355" s="5" t="s">
        <v>1331</v>
      </c>
      <c r="B355" s="9" t="s">
        <v>1332</v>
      </c>
      <c r="C355" s="9" t="s">
        <v>184</v>
      </c>
      <c r="D355" s="9" t="s">
        <v>56</v>
      </c>
      <c r="E355" s="9" t="s">
        <v>25</v>
      </c>
      <c r="F355" s="9" t="s">
        <v>35</v>
      </c>
      <c r="G355" s="9" t="s">
        <v>36</v>
      </c>
      <c r="H355" s="5">
        <v>30</v>
      </c>
      <c r="I355" s="6">
        <v>42884</v>
      </c>
      <c r="J355" s="7">
        <v>86317</v>
      </c>
      <c r="K355" s="9" t="s">
        <v>1310</v>
      </c>
      <c r="L355" s="9" t="s">
        <v>1330</v>
      </c>
      <c r="M355">
        <f t="shared" ca="1" si="10"/>
        <v>8</v>
      </c>
      <c r="N355">
        <f t="shared" ca="1" si="11"/>
        <v>5.5</v>
      </c>
    </row>
    <row r="356" spans="1:14" x14ac:dyDescent="0.3">
      <c r="A356" s="5" t="s">
        <v>1654</v>
      </c>
      <c r="B356" s="9" t="s">
        <v>1655</v>
      </c>
      <c r="C356" s="9" t="s">
        <v>14</v>
      </c>
      <c r="D356" s="9" t="s">
        <v>24</v>
      </c>
      <c r="E356" s="9" t="s">
        <v>25</v>
      </c>
      <c r="F356" s="9" t="s">
        <v>17</v>
      </c>
      <c r="G356" s="9" t="s">
        <v>36</v>
      </c>
      <c r="H356" s="5">
        <v>37</v>
      </c>
      <c r="I356" s="6">
        <v>40657</v>
      </c>
      <c r="J356" s="7">
        <v>131183</v>
      </c>
      <c r="K356" s="9" t="s">
        <v>1310</v>
      </c>
      <c r="L356" s="9" t="s">
        <v>1316</v>
      </c>
      <c r="M356">
        <f t="shared" ca="1" si="10"/>
        <v>14</v>
      </c>
      <c r="N356">
        <f t="shared" ca="1" si="11"/>
        <v>8</v>
      </c>
    </row>
    <row r="357" spans="1:14" x14ac:dyDescent="0.3">
      <c r="A357" s="5" t="s">
        <v>1858</v>
      </c>
      <c r="B357" s="9" t="s">
        <v>1859</v>
      </c>
      <c r="C357" s="9" t="s">
        <v>277</v>
      </c>
      <c r="D357" s="9" t="s">
        <v>79</v>
      </c>
      <c r="E357" s="9" t="s">
        <v>25</v>
      </c>
      <c r="F357" s="9" t="s">
        <v>17</v>
      </c>
      <c r="G357" s="9" t="s">
        <v>73</v>
      </c>
      <c r="H357" s="5">
        <v>26</v>
      </c>
      <c r="I357" s="6">
        <v>44236</v>
      </c>
      <c r="J357" s="7">
        <v>87427</v>
      </c>
      <c r="K357" s="9" t="s">
        <v>1717</v>
      </c>
      <c r="L357" s="9" t="s">
        <v>1736</v>
      </c>
      <c r="M357">
        <f t="shared" ca="1" si="10"/>
        <v>4</v>
      </c>
      <c r="N357">
        <f t="shared" ca="1" si="11"/>
        <v>3</v>
      </c>
    </row>
    <row r="358" spans="1:14" x14ac:dyDescent="0.3">
      <c r="A358" s="5" t="s">
        <v>586</v>
      </c>
      <c r="B358" s="9" t="s">
        <v>587</v>
      </c>
      <c r="C358" s="9" t="s">
        <v>40</v>
      </c>
      <c r="D358" s="9" t="s">
        <v>79</v>
      </c>
      <c r="E358" s="9" t="s">
        <v>25</v>
      </c>
      <c r="F358" s="9" t="s">
        <v>17</v>
      </c>
      <c r="G358" s="9" t="s">
        <v>36</v>
      </c>
      <c r="H358" s="5">
        <v>55</v>
      </c>
      <c r="I358" s="6">
        <v>41202</v>
      </c>
      <c r="J358" s="7">
        <v>108686</v>
      </c>
      <c r="K358" s="9" t="s">
        <v>19</v>
      </c>
      <c r="L358" s="9" t="s">
        <v>76</v>
      </c>
      <c r="M358">
        <f t="shared" ca="1" si="10"/>
        <v>13</v>
      </c>
      <c r="N358">
        <f t="shared" ca="1" si="11"/>
        <v>8</v>
      </c>
    </row>
    <row r="359" spans="1:14" x14ac:dyDescent="0.3">
      <c r="A359" s="5" t="s">
        <v>749</v>
      </c>
      <c r="B359" s="9" t="s">
        <v>750</v>
      </c>
      <c r="C359" s="9" t="s">
        <v>23</v>
      </c>
      <c r="D359" s="9" t="s">
        <v>60</v>
      </c>
      <c r="E359" s="9" t="s">
        <v>41</v>
      </c>
      <c r="F359" s="9" t="s">
        <v>17</v>
      </c>
      <c r="G359" s="9" t="s">
        <v>73</v>
      </c>
      <c r="H359" s="5">
        <v>27</v>
      </c>
      <c r="I359" s="6">
        <v>43441</v>
      </c>
      <c r="J359" s="7">
        <v>170164</v>
      </c>
      <c r="K359" s="9" t="s">
        <v>19</v>
      </c>
      <c r="L359" s="9" t="s">
        <v>51</v>
      </c>
      <c r="M359">
        <f t="shared" ca="1" si="10"/>
        <v>6</v>
      </c>
      <c r="N359">
        <f t="shared" ca="1" si="11"/>
        <v>4</v>
      </c>
    </row>
    <row r="360" spans="1:14" x14ac:dyDescent="0.3">
      <c r="A360" s="5" t="s">
        <v>1602</v>
      </c>
      <c r="B360" s="9" t="s">
        <v>1603</v>
      </c>
      <c r="C360" s="9" t="s">
        <v>14</v>
      </c>
      <c r="D360" s="9" t="s">
        <v>79</v>
      </c>
      <c r="E360" s="9" t="s">
        <v>31</v>
      </c>
      <c r="F360" s="9" t="s">
        <v>35</v>
      </c>
      <c r="G360" s="9" t="s">
        <v>36</v>
      </c>
      <c r="H360" s="5">
        <v>25</v>
      </c>
      <c r="I360" s="6">
        <v>44362</v>
      </c>
      <c r="J360" s="7">
        <v>142731</v>
      </c>
      <c r="K360" s="9" t="s">
        <v>1310</v>
      </c>
      <c r="L360" s="9" t="s">
        <v>1316</v>
      </c>
      <c r="M360">
        <f t="shared" ca="1" si="10"/>
        <v>4</v>
      </c>
      <c r="N360">
        <f t="shared" ca="1" si="11"/>
        <v>3</v>
      </c>
    </row>
    <row r="361" spans="1:14" x14ac:dyDescent="0.3">
      <c r="A361" s="5" t="s">
        <v>128</v>
      </c>
      <c r="B361" s="9" t="s">
        <v>129</v>
      </c>
      <c r="C361" s="9" t="s">
        <v>130</v>
      </c>
      <c r="D361" s="9" t="s">
        <v>60</v>
      </c>
      <c r="E361" s="9" t="s">
        <v>16</v>
      </c>
      <c r="F361" s="9" t="s">
        <v>17</v>
      </c>
      <c r="G361" s="9" t="s">
        <v>26</v>
      </c>
      <c r="H361" s="5">
        <v>33</v>
      </c>
      <c r="I361" s="6">
        <v>43456</v>
      </c>
      <c r="J361" s="7">
        <v>83990</v>
      </c>
      <c r="K361" s="9" t="s">
        <v>19</v>
      </c>
      <c r="L361" s="9" t="s">
        <v>27</v>
      </c>
      <c r="M361">
        <f t="shared" ca="1" si="10"/>
        <v>6</v>
      </c>
      <c r="N361">
        <f t="shared" ca="1" si="11"/>
        <v>4</v>
      </c>
    </row>
    <row r="362" spans="1:14" x14ac:dyDescent="0.3">
      <c r="A362" s="5" t="s">
        <v>391</v>
      </c>
      <c r="B362" s="9" t="s">
        <v>585</v>
      </c>
      <c r="C362" s="9" t="s">
        <v>34</v>
      </c>
      <c r="D362" s="9" t="s">
        <v>79</v>
      </c>
      <c r="E362" s="9" t="s">
        <v>16</v>
      </c>
      <c r="F362" s="9" t="s">
        <v>35</v>
      </c>
      <c r="G362" s="9" t="s">
        <v>36</v>
      </c>
      <c r="H362" s="5">
        <v>52</v>
      </c>
      <c r="I362" s="6">
        <v>34383</v>
      </c>
      <c r="J362" s="7">
        <v>99624</v>
      </c>
      <c r="K362" s="9" t="s">
        <v>19</v>
      </c>
      <c r="L362" s="9" t="s">
        <v>20</v>
      </c>
      <c r="M362">
        <f t="shared" ca="1" si="10"/>
        <v>31</v>
      </c>
      <c r="N362">
        <f t="shared" ca="1" si="11"/>
        <v>15</v>
      </c>
    </row>
    <row r="363" spans="1:14" x14ac:dyDescent="0.3">
      <c r="A363" s="5" t="s">
        <v>391</v>
      </c>
      <c r="B363" s="9" t="s">
        <v>392</v>
      </c>
      <c r="C363" s="9" t="s">
        <v>191</v>
      </c>
      <c r="D363" s="9" t="s">
        <v>60</v>
      </c>
      <c r="E363" s="9" t="s">
        <v>41</v>
      </c>
      <c r="F363" s="9" t="s">
        <v>35</v>
      </c>
      <c r="G363" s="9" t="s">
        <v>26</v>
      </c>
      <c r="H363" s="5">
        <v>50</v>
      </c>
      <c r="I363" s="6">
        <v>43447</v>
      </c>
      <c r="J363" s="7">
        <v>63098</v>
      </c>
      <c r="K363" s="9" t="s">
        <v>19</v>
      </c>
      <c r="L363" s="9" t="s">
        <v>76</v>
      </c>
      <c r="M363">
        <f t="shared" ca="1" si="10"/>
        <v>6</v>
      </c>
      <c r="N363">
        <f t="shared" ca="1" si="11"/>
        <v>4</v>
      </c>
    </row>
    <row r="364" spans="1:14" x14ac:dyDescent="0.3">
      <c r="A364" s="5" t="s">
        <v>804</v>
      </c>
      <c r="B364" s="9" t="s">
        <v>805</v>
      </c>
      <c r="C364" s="9" t="s">
        <v>116</v>
      </c>
      <c r="D364" s="9" t="s">
        <v>60</v>
      </c>
      <c r="E364" s="9" t="s">
        <v>25</v>
      </c>
      <c r="F364" s="9" t="s">
        <v>35</v>
      </c>
      <c r="G364" s="9" t="s">
        <v>18</v>
      </c>
      <c r="H364" s="5">
        <v>27</v>
      </c>
      <c r="I364" s="6">
        <v>43613</v>
      </c>
      <c r="J364" s="7">
        <v>70110</v>
      </c>
      <c r="K364" s="9" t="s">
        <v>19</v>
      </c>
      <c r="L364" s="9" t="s">
        <v>45</v>
      </c>
      <c r="M364">
        <f t="shared" ca="1" si="10"/>
        <v>6</v>
      </c>
      <c r="N364">
        <f t="shared" ca="1" si="11"/>
        <v>4</v>
      </c>
    </row>
    <row r="365" spans="1:14" x14ac:dyDescent="0.3">
      <c r="A365" s="5" t="s">
        <v>1092</v>
      </c>
      <c r="B365" s="9" t="s">
        <v>1093</v>
      </c>
      <c r="C365" s="9" t="s">
        <v>44</v>
      </c>
      <c r="D365" s="9" t="s">
        <v>24</v>
      </c>
      <c r="E365" s="9" t="s">
        <v>31</v>
      </c>
      <c r="F365" s="9" t="s">
        <v>35</v>
      </c>
      <c r="G365" s="9" t="s">
        <v>36</v>
      </c>
      <c r="H365" s="5">
        <v>56</v>
      </c>
      <c r="I365" s="6">
        <v>38847</v>
      </c>
      <c r="J365" s="7">
        <v>41561</v>
      </c>
      <c r="K365" s="9" t="s">
        <v>19</v>
      </c>
      <c r="L365" s="9" t="s">
        <v>51</v>
      </c>
      <c r="M365">
        <f t="shared" ca="1" si="10"/>
        <v>19</v>
      </c>
      <c r="N365">
        <f t="shared" ca="1" si="11"/>
        <v>9.5</v>
      </c>
    </row>
    <row r="366" spans="1:14" x14ac:dyDescent="0.3">
      <c r="A366" s="5" t="s">
        <v>1084</v>
      </c>
      <c r="B366" s="9" t="s">
        <v>1085</v>
      </c>
      <c r="C366" s="9" t="s">
        <v>451</v>
      </c>
      <c r="D366" s="9" t="s">
        <v>15</v>
      </c>
      <c r="E366" s="9" t="s">
        <v>31</v>
      </c>
      <c r="F366" s="9" t="s">
        <v>17</v>
      </c>
      <c r="G366" s="9" t="s">
        <v>26</v>
      </c>
      <c r="H366" s="5">
        <v>64</v>
      </c>
      <c r="I366" s="6">
        <v>38176</v>
      </c>
      <c r="J366" s="7">
        <v>77903</v>
      </c>
      <c r="K366" s="9" t="s">
        <v>19</v>
      </c>
      <c r="L366" s="9" t="s">
        <v>20</v>
      </c>
      <c r="M366">
        <f t="shared" ca="1" si="10"/>
        <v>21</v>
      </c>
      <c r="N366">
        <f t="shared" ca="1" si="11"/>
        <v>9.5</v>
      </c>
    </row>
    <row r="367" spans="1:14" x14ac:dyDescent="0.3">
      <c r="A367" s="5" t="s">
        <v>131</v>
      </c>
      <c r="B367" s="9" t="s">
        <v>132</v>
      </c>
      <c r="C367" s="9" t="s">
        <v>133</v>
      </c>
      <c r="D367" s="9" t="s">
        <v>60</v>
      </c>
      <c r="E367" s="9" t="s">
        <v>41</v>
      </c>
      <c r="F367" s="9" t="s">
        <v>17</v>
      </c>
      <c r="G367" s="9" t="s">
        <v>26</v>
      </c>
      <c r="H367" s="5">
        <v>52</v>
      </c>
      <c r="I367" s="6">
        <v>38696</v>
      </c>
      <c r="J367" s="7">
        <v>102043</v>
      </c>
      <c r="K367" s="9" t="s">
        <v>19</v>
      </c>
      <c r="L367" s="9" t="s">
        <v>27</v>
      </c>
      <c r="M367">
        <f t="shared" ca="1" si="10"/>
        <v>19</v>
      </c>
      <c r="N367">
        <f t="shared" ca="1" si="11"/>
        <v>9.5</v>
      </c>
    </row>
    <row r="368" spans="1:14" x14ac:dyDescent="0.3">
      <c r="A368" s="5" t="s">
        <v>1052</v>
      </c>
      <c r="B368" s="9" t="s">
        <v>1053</v>
      </c>
      <c r="C368" s="9" t="s">
        <v>44</v>
      </c>
      <c r="D368" s="9" t="s">
        <v>24</v>
      </c>
      <c r="E368" s="9" t="s">
        <v>16</v>
      </c>
      <c r="F368" s="9" t="s">
        <v>35</v>
      </c>
      <c r="G368" s="9" t="s">
        <v>36</v>
      </c>
      <c r="H368" s="5">
        <v>46</v>
      </c>
      <c r="I368" s="6">
        <v>40657</v>
      </c>
      <c r="J368" s="7">
        <v>55894</v>
      </c>
      <c r="K368" s="9" t="s">
        <v>19</v>
      </c>
      <c r="L368" s="9" t="s">
        <v>20</v>
      </c>
      <c r="M368">
        <f t="shared" ca="1" si="10"/>
        <v>14</v>
      </c>
      <c r="N368">
        <f t="shared" ca="1" si="11"/>
        <v>8</v>
      </c>
    </row>
    <row r="369" spans="1:14" x14ac:dyDescent="0.3">
      <c r="A369" s="5" t="s">
        <v>1849</v>
      </c>
      <c r="B369" s="9" t="s">
        <v>1850</v>
      </c>
      <c r="C369" s="9" t="s">
        <v>40</v>
      </c>
      <c r="D369" s="9" t="s">
        <v>24</v>
      </c>
      <c r="E369" s="9" t="s">
        <v>16</v>
      </c>
      <c r="F369" s="9" t="s">
        <v>35</v>
      </c>
      <c r="G369" s="9" t="s">
        <v>73</v>
      </c>
      <c r="H369" s="5">
        <v>54</v>
      </c>
      <c r="I369" s="6">
        <v>35913</v>
      </c>
      <c r="J369" s="7">
        <v>108268</v>
      </c>
      <c r="K369" s="9" t="s">
        <v>1717</v>
      </c>
      <c r="L369" s="9" t="s">
        <v>1736</v>
      </c>
      <c r="M369">
        <f t="shared" ca="1" si="10"/>
        <v>27</v>
      </c>
      <c r="N369">
        <f t="shared" ca="1" si="11"/>
        <v>10</v>
      </c>
    </row>
    <row r="370" spans="1:14" x14ac:dyDescent="0.3">
      <c r="A370" s="5" t="s">
        <v>137</v>
      </c>
      <c r="B370" s="9" t="s">
        <v>138</v>
      </c>
      <c r="C370" s="9" t="s">
        <v>139</v>
      </c>
      <c r="D370" s="9" t="s">
        <v>56</v>
      </c>
      <c r="E370" s="9" t="s">
        <v>31</v>
      </c>
      <c r="F370" s="9" t="s">
        <v>17</v>
      </c>
      <c r="G370" s="9" t="s">
        <v>18</v>
      </c>
      <c r="H370" s="5">
        <v>46</v>
      </c>
      <c r="I370" s="6">
        <v>39681</v>
      </c>
      <c r="J370" s="7">
        <v>59067</v>
      </c>
      <c r="K370" s="9" t="s">
        <v>19</v>
      </c>
      <c r="L370" s="9" t="s">
        <v>45</v>
      </c>
      <c r="M370">
        <f t="shared" ca="1" si="10"/>
        <v>17</v>
      </c>
      <c r="N370">
        <f t="shared" ca="1" si="11"/>
        <v>8</v>
      </c>
    </row>
    <row r="371" spans="1:14" x14ac:dyDescent="0.3">
      <c r="A371" s="5" t="s">
        <v>377</v>
      </c>
      <c r="B371" s="9" t="s">
        <v>378</v>
      </c>
      <c r="C371" s="9" t="s">
        <v>40</v>
      </c>
      <c r="D371" s="9" t="s">
        <v>68</v>
      </c>
      <c r="E371" s="9" t="s">
        <v>31</v>
      </c>
      <c r="F371" s="9" t="s">
        <v>35</v>
      </c>
      <c r="G371" s="9" t="s">
        <v>26</v>
      </c>
      <c r="H371" s="5">
        <v>38</v>
      </c>
      <c r="I371" s="6">
        <v>39544</v>
      </c>
      <c r="J371" s="7">
        <v>126856</v>
      </c>
      <c r="K371" s="9" t="s">
        <v>19</v>
      </c>
      <c r="L371" s="9" t="s">
        <v>76</v>
      </c>
      <c r="M371">
        <f t="shared" ca="1" si="10"/>
        <v>17</v>
      </c>
      <c r="N371">
        <f t="shared" ca="1" si="11"/>
        <v>8</v>
      </c>
    </row>
    <row r="372" spans="1:14" x14ac:dyDescent="0.3">
      <c r="A372" s="5" t="s">
        <v>707</v>
      </c>
      <c r="B372" s="9" t="s">
        <v>1534</v>
      </c>
      <c r="C372" s="9" t="s">
        <v>23</v>
      </c>
      <c r="D372" s="9" t="s">
        <v>24</v>
      </c>
      <c r="E372" s="9" t="s">
        <v>41</v>
      </c>
      <c r="F372" s="9" t="s">
        <v>35</v>
      </c>
      <c r="G372" s="9" t="s">
        <v>36</v>
      </c>
      <c r="H372" s="5">
        <v>58</v>
      </c>
      <c r="I372" s="6">
        <v>39367</v>
      </c>
      <c r="J372" s="7">
        <v>162038</v>
      </c>
      <c r="K372" s="9" t="s">
        <v>1310</v>
      </c>
      <c r="L372" s="9" t="s">
        <v>1311</v>
      </c>
      <c r="M372">
        <f t="shared" ca="1" si="10"/>
        <v>18</v>
      </c>
      <c r="N372">
        <f t="shared" ca="1" si="11"/>
        <v>9.5</v>
      </c>
    </row>
    <row r="373" spans="1:14" x14ac:dyDescent="0.3">
      <c r="A373" s="5" t="s">
        <v>707</v>
      </c>
      <c r="B373" s="9" t="s">
        <v>708</v>
      </c>
      <c r="C373" s="9" t="s">
        <v>30</v>
      </c>
      <c r="D373" s="9" t="s">
        <v>15</v>
      </c>
      <c r="E373" s="9" t="s">
        <v>16</v>
      </c>
      <c r="F373" s="9" t="s">
        <v>35</v>
      </c>
      <c r="G373" s="9" t="s">
        <v>26</v>
      </c>
      <c r="H373" s="5">
        <v>52</v>
      </c>
      <c r="I373" s="6">
        <v>41417</v>
      </c>
      <c r="J373" s="7">
        <v>99557</v>
      </c>
      <c r="K373" s="9" t="s">
        <v>19</v>
      </c>
      <c r="L373" s="9" t="s">
        <v>20</v>
      </c>
      <c r="M373">
        <f t="shared" ca="1" si="10"/>
        <v>12</v>
      </c>
      <c r="N373">
        <f t="shared" ca="1" si="11"/>
        <v>8</v>
      </c>
    </row>
    <row r="374" spans="1:14" x14ac:dyDescent="0.3">
      <c r="A374" s="5" t="s">
        <v>935</v>
      </c>
      <c r="B374" s="9" t="s">
        <v>936</v>
      </c>
      <c r="C374" s="9" t="s">
        <v>44</v>
      </c>
      <c r="D374" s="9" t="s">
        <v>50</v>
      </c>
      <c r="E374" s="9" t="s">
        <v>31</v>
      </c>
      <c r="F374" s="9" t="s">
        <v>17</v>
      </c>
      <c r="G374" s="9" t="s">
        <v>73</v>
      </c>
      <c r="H374" s="5">
        <v>33</v>
      </c>
      <c r="I374" s="6">
        <v>43247</v>
      </c>
      <c r="J374" s="7">
        <v>45049</v>
      </c>
      <c r="K374" s="9" t="s">
        <v>19</v>
      </c>
      <c r="L374" s="9" t="s">
        <v>20</v>
      </c>
      <c r="M374">
        <f t="shared" ca="1" si="10"/>
        <v>7</v>
      </c>
      <c r="N374">
        <f t="shared" ca="1" si="11"/>
        <v>4</v>
      </c>
    </row>
    <row r="375" spans="1:14" x14ac:dyDescent="0.3">
      <c r="A375" s="5" t="s">
        <v>1112</v>
      </c>
      <c r="B375" s="9" t="s">
        <v>1113</v>
      </c>
      <c r="C375" s="9" t="s">
        <v>40</v>
      </c>
      <c r="D375" s="9" t="s">
        <v>68</v>
      </c>
      <c r="E375" s="9" t="s">
        <v>16</v>
      </c>
      <c r="F375" s="9" t="s">
        <v>17</v>
      </c>
      <c r="G375" s="9" t="s">
        <v>18</v>
      </c>
      <c r="H375" s="5">
        <v>42</v>
      </c>
      <c r="I375" s="6">
        <v>42266</v>
      </c>
      <c r="J375" s="7">
        <v>103423</v>
      </c>
      <c r="K375" s="9" t="s">
        <v>19</v>
      </c>
      <c r="L375" s="9" t="s">
        <v>76</v>
      </c>
      <c r="M375">
        <f t="shared" ca="1" si="10"/>
        <v>10</v>
      </c>
      <c r="N375">
        <f t="shared" ca="1" si="11"/>
        <v>5.5</v>
      </c>
    </row>
    <row r="376" spans="1:14" x14ac:dyDescent="0.3">
      <c r="A376" s="5" t="s">
        <v>1112</v>
      </c>
      <c r="B376" s="9" t="s">
        <v>1895</v>
      </c>
      <c r="C376" s="9" t="s">
        <v>14</v>
      </c>
      <c r="D376" s="9" t="s">
        <v>50</v>
      </c>
      <c r="E376" s="9" t="s">
        <v>25</v>
      </c>
      <c r="F376" s="9" t="s">
        <v>17</v>
      </c>
      <c r="G376" s="9" t="s">
        <v>73</v>
      </c>
      <c r="H376" s="5">
        <v>28</v>
      </c>
      <c r="I376" s="6">
        <v>43652</v>
      </c>
      <c r="J376" s="7">
        <v>152036</v>
      </c>
      <c r="K376" s="9" t="s">
        <v>1717</v>
      </c>
      <c r="L376" s="9" t="s">
        <v>1721</v>
      </c>
      <c r="M376">
        <f t="shared" ca="1" si="10"/>
        <v>6</v>
      </c>
      <c r="N376">
        <f t="shared" ca="1" si="11"/>
        <v>4</v>
      </c>
    </row>
    <row r="377" spans="1:14" x14ac:dyDescent="0.3">
      <c r="A377" s="5" t="s">
        <v>1191</v>
      </c>
      <c r="B377" s="9" t="s">
        <v>1192</v>
      </c>
      <c r="C377" s="9" t="s">
        <v>44</v>
      </c>
      <c r="D377" s="9" t="s">
        <v>68</v>
      </c>
      <c r="E377" s="9" t="s">
        <v>16</v>
      </c>
      <c r="F377" s="9" t="s">
        <v>17</v>
      </c>
      <c r="G377" s="9" t="s">
        <v>26</v>
      </c>
      <c r="H377" s="5">
        <v>43</v>
      </c>
      <c r="I377" s="6">
        <v>43659</v>
      </c>
      <c r="J377" s="7">
        <v>41545</v>
      </c>
      <c r="K377" s="9" t="s">
        <v>19</v>
      </c>
      <c r="L377" s="9" t="s">
        <v>45</v>
      </c>
      <c r="M377">
        <f t="shared" ca="1" si="10"/>
        <v>6</v>
      </c>
      <c r="N377">
        <f t="shared" ca="1" si="11"/>
        <v>4</v>
      </c>
    </row>
    <row r="378" spans="1:14" x14ac:dyDescent="0.3">
      <c r="A378" s="5" t="s">
        <v>1191</v>
      </c>
      <c r="B378" s="9" t="s">
        <v>1634</v>
      </c>
      <c r="C378" s="9" t="s">
        <v>88</v>
      </c>
      <c r="D378" s="9" t="s">
        <v>15</v>
      </c>
      <c r="E378" s="9" t="s">
        <v>31</v>
      </c>
      <c r="F378" s="9" t="s">
        <v>35</v>
      </c>
      <c r="G378" s="9" t="s">
        <v>36</v>
      </c>
      <c r="H378" s="5">
        <v>25</v>
      </c>
      <c r="I378" s="6">
        <v>44213</v>
      </c>
      <c r="J378" s="7">
        <v>41844</v>
      </c>
      <c r="K378" s="9" t="s">
        <v>1310</v>
      </c>
      <c r="L378" s="9" t="s">
        <v>1311</v>
      </c>
      <c r="M378">
        <f t="shared" ca="1" si="10"/>
        <v>4</v>
      </c>
      <c r="N378">
        <f t="shared" ca="1" si="11"/>
        <v>3</v>
      </c>
    </row>
    <row r="379" spans="1:14" x14ac:dyDescent="0.3">
      <c r="A379" s="5" t="s">
        <v>439</v>
      </c>
      <c r="B379" s="9" t="s">
        <v>440</v>
      </c>
      <c r="C379" s="9" t="s">
        <v>23</v>
      </c>
      <c r="D379" s="9" t="s">
        <v>24</v>
      </c>
      <c r="E379" s="9" t="s">
        <v>25</v>
      </c>
      <c r="F379" s="9" t="s">
        <v>35</v>
      </c>
      <c r="G379" s="9" t="s">
        <v>26</v>
      </c>
      <c r="H379" s="5">
        <v>25</v>
      </c>
      <c r="I379" s="6">
        <v>43844</v>
      </c>
      <c r="J379" s="7">
        <v>168014</v>
      </c>
      <c r="K379" s="9" t="s">
        <v>19</v>
      </c>
      <c r="L379" s="9" t="s">
        <v>27</v>
      </c>
      <c r="M379">
        <f t="shared" ca="1" si="10"/>
        <v>5</v>
      </c>
      <c r="N379">
        <f t="shared" ca="1" si="11"/>
        <v>3</v>
      </c>
    </row>
    <row r="380" spans="1:14" x14ac:dyDescent="0.3">
      <c r="A380" s="5" t="s">
        <v>1088</v>
      </c>
      <c r="B380" s="9" t="s">
        <v>1089</v>
      </c>
      <c r="C380" s="9" t="s">
        <v>577</v>
      </c>
      <c r="D380" s="9" t="s">
        <v>15</v>
      </c>
      <c r="E380" s="9" t="s">
        <v>41</v>
      </c>
      <c r="F380" s="9" t="s">
        <v>35</v>
      </c>
      <c r="G380" s="9" t="s">
        <v>36</v>
      </c>
      <c r="H380" s="5">
        <v>29</v>
      </c>
      <c r="I380" s="6">
        <v>44375</v>
      </c>
      <c r="J380" s="7">
        <v>71234</v>
      </c>
      <c r="K380" s="9" t="s">
        <v>19</v>
      </c>
      <c r="L380" s="9" t="s">
        <v>20</v>
      </c>
      <c r="M380">
        <f t="shared" ca="1" si="10"/>
        <v>4</v>
      </c>
      <c r="N380">
        <f t="shared" ca="1" si="11"/>
        <v>3</v>
      </c>
    </row>
    <row r="381" spans="1:14" x14ac:dyDescent="0.3">
      <c r="A381" s="5" t="s">
        <v>878</v>
      </c>
      <c r="B381" s="9" t="s">
        <v>879</v>
      </c>
      <c r="C381" s="9" t="s">
        <v>67</v>
      </c>
      <c r="D381" s="9" t="s">
        <v>68</v>
      </c>
      <c r="E381" s="9" t="s">
        <v>25</v>
      </c>
      <c r="F381" s="9" t="s">
        <v>35</v>
      </c>
      <c r="G381" s="9" t="s">
        <v>26</v>
      </c>
      <c r="H381" s="5">
        <v>52</v>
      </c>
      <c r="I381" s="6">
        <v>37418</v>
      </c>
      <c r="J381" s="7">
        <v>236314</v>
      </c>
      <c r="K381" s="9" t="s">
        <v>19</v>
      </c>
      <c r="L381" s="9" t="s">
        <v>45</v>
      </c>
      <c r="M381">
        <f t="shared" ca="1" si="10"/>
        <v>23</v>
      </c>
      <c r="N381">
        <f t="shared" ca="1" si="11"/>
        <v>9.5</v>
      </c>
    </row>
    <row r="382" spans="1:14" x14ac:dyDescent="0.3">
      <c r="A382" s="5" t="s">
        <v>445</v>
      </c>
      <c r="B382" s="9" t="s">
        <v>446</v>
      </c>
      <c r="C382" s="9" t="s">
        <v>14</v>
      </c>
      <c r="D382" s="9" t="s">
        <v>56</v>
      </c>
      <c r="E382" s="9" t="s">
        <v>16</v>
      </c>
      <c r="F382" s="9" t="s">
        <v>17</v>
      </c>
      <c r="G382" s="9" t="s">
        <v>36</v>
      </c>
      <c r="H382" s="5">
        <v>64</v>
      </c>
      <c r="I382" s="6">
        <v>37962</v>
      </c>
      <c r="J382" s="7">
        <v>125807</v>
      </c>
      <c r="K382" s="9" t="s">
        <v>19</v>
      </c>
      <c r="L382" s="9" t="s">
        <v>27</v>
      </c>
      <c r="M382">
        <f t="shared" ca="1" si="10"/>
        <v>21</v>
      </c>
      <c r="N382">
        <f t="shared" ca="1" si="11"/>
        <v>9.5</v>
      </c>
    </row>
    <row r="383" spans="1:14" x14ac:dyDescent="0.3">
      <c r="A383" s="5" t="s">
        <v>1711</v>
      </c>
      <c r="B383" s="9" t="s">
        <v>1712</v>
      </c>
      <c r="C383" s="9" t="s">
        <v>44</v>
      </c>
      <c r="D383" s="9" t="s">
        <v>24</v>
      </c>
      <c r="E383" s="9" t="s">
        <v>25</v>
      </c>
      <c r="F383" s="9" t="s">
        <v>17</v>
      </c>
      <c r="G383" s="9" t="s">
        <v>36</v>
      </c>
      <c r="H383" s="5">
        <v>44</v>
      </c>
      <c r="I383" s="6">
        <v>40329</v>
      </c>
      <c r="J383" s="7">
        <v>47387</v>
      </c>
      <c r="K383" s="9" t="s">
        <v>1310</v>
      </c>
      <c r="L383" s="9" t="s">
        <v>1330</v>
      </c>
      <c r="M383">
        <f t="shared" ca="1" si="10"/>
        <v>15</v>
      </c>
      <c r="N383">
        <f t="shared" ca="1" si="11"/>
        <v>8</v>
      </c>
    </row>
    <row r="384" spans="1:14" x14ac:dyDescent="0.3">
      <c r="A384" s="5" t="s">
        <v>381</v>
      </c>
      <c r="B384" s="9" t="s">
        <v>382</v>
      </c>
      <c r="C384" s="9" t="s">
        <v>14</v>
      </c>
      <c r="D384" s="9" t="s">
        <v>50</v>
      </c>
      <c r="E384" s="9" t="s">
        <v>31</v>
      </c>
      <c r="F384" s="9" t="s">
        <v>17</v>
      </c>
      <c r="G384" s="9" t="s">
        <v>26</v>
      </c>
      <c r="H384" s="5">
        <v>55</v>
      </c>
      <c r="I384" s="6">
        <v>40552</v>
      </c>
      <c r="J384" s="7">
        <v>138521</v>
      </c>
      <c r="K384" s="9" t="s">
        <v>19</v>
      </c>
      <c r="L384" s="9" t="s">
        <v>45</v>
      </c>
      <c r="M384">
        <f t="shared" ca="1" si="10"/>
        <v>14</v>
      </c>
      <c r="N384">
        <f t="shared" ca="1" si="11"/>
        <v>8</v>
      </c>
    </row>
    <row r="385" spans="1:14" x14ac:dyDescent="0.3">
      <c r="A385" s="5" t="s">
        <v>1815</v>
      </c>
      <c r="B385" s="9" t="s">
        <v>1816</v>
      </c>
      <c r="C385" s="9" t="s">
        <v>23</v>
      </c>
      <c r="D385" s="9" t="s">
        <v>60</v>
      </c>
      <c r="E385" s="9" t="s">
        <v>16</v>
      </c>
      <c r="F385" s="9" t="s">
        <v>17</v>
      </c>
      <c r="G385" s="9" t="s">
        <v>73</v>
      </c>
      <c r="H385" s="5">
        <v>59</v>
      </c>
      <c r="I385" s="6">
        <v>37726</v>
      </c>
      <c r="J385" s="7">
        <v>150699</v>
      </c>
      <c r="K385" s="9" t="s">
        <v>1717</v>
      </c>
      <c r="L385" s="9" t="s">
        <v>1736</v>
      </c>
      <c r="M385">
        <f t="shared" ca="1" si="10"/>
        <v>22</v>
      </c>
      <c r="N385">
        <f t="shared" ca="1" si="11"/>
        <v>9.5</v>
      </c>
    </row>
    <row r="386" spans="1:14" x14ac:dyDescent="0.3">
      <c r="A386" s="5" t="s">
        <v>868</v>
      </c>
      <c r="B386" s="9" t="s">
        <v>869</v>
      </c>
      <c r="C386" s="9" t="s">
        <v>101</v>
      </c>
      <c r="D386" s="9" t="s">
        <v>15</v>
      </c>
      <c r="E386" s="9" t="s">
        <v>31</v>
      </c>
      <c r="F386" s="9" t="s">
        <v>35</v>
      </c>
      <c r="G386" s="9" t="s">
        <v>18</v>
      </c>
      <c r="H386" s="5">
        <v>34</v>
      </c>
      <c r="I386" s="6">
        <v>42416</v>
      </c>
      <c r="J386" s="7">
        <v>63411</v>
      </c>
      <c r="K386" s="9" t="s">
        <v>19</v>
      </c>
      <c r="L386" s="9" t="s">
        <v>45</v>
      </c>
      <c r="M386">
        <f t="shared" ca="1" si="10"/>
        <v>9</v>
      </c>
      <c r="N386">
        <f t="shared" ca="1" si="11"/>
        <v>5.5</v>
      </c>
    </row>
    <row r="387" spans="1:14" x14ac:dyDescent="0.3">
      <c r="A387" s="5" t="s">
        <v>1637</v>
      </c>
      <c r="B387" s="9" t="s">
        <v>1638</v>
      </c>
      <c r="C387" s="9" t="s">
        <v>91</v>
      </c>
      <c r="D387" s="9" t="s">
        <v>79</v>
      </c>
      <c r="E387" s="9" t="s">
        <v>41</v>
      </c>
      <c r="F387" s="9" t="s">
        <v>17</v>
      </c>
      <c r="G387" s="9" t="s">
        <v>36</v>
      </c>
      <c r="H387" s="5">
        <v>42</v>
      </c>
      <c r="I387" s="6">
        <v>40307</v>
      </c>
      <c r="J387" s="7">
        <v>67743</v>
      </c>
      <c r="K387" s="9" t="s">
        <v>1310</v>
      </c>
      <c r="L387" s="9" t="s">
        <v>1323</v>
      </c>
      <c r="M387">
        <f t="shared" ref="M387:M450" ca="1" si="12">DATEDIF(I387,TODAY(),"Y")</f>
        <v>15</v>
      </c>
      <c r="N387">
        <f t="shared" ref="N387:N450" ca="1" si="13">_xlfn.XLOOKUP(M387,$Q$3:$Q$11,$R$3:$R$11,0,-1)</f>
        <v>8</v>
      </c>
    </row>
    <row r="388" spans="1:14" x14ac:dyDescent="0.3">
      <c r="A388" s="5" t="s">
        <v>1937</v>
      </c>
      <c r="B388" s="9" t="s">
        <v>1938</v>
      </c>
      <c r="C388" s="9" t="s">
        <v>14</v>
      </c>
      <c r="D388" s="9" t="s">
        <v>79</v>
      </c>
      <c r="E388" s="9" t="s">
        <v>41</v>
      </c>
      <c r="F388" s="9" t="s">
        <v>17</v>
      </c>
      <c r="G388" s="9" t="s">
        <v>73</v>
      </c>
      <c r="H388" s="5">
        <v>52</v>
      </c>
      <c r="I388" s="6">
        <v>38995</v>
      </c>
      <c r="J388" s="7">
        <v>147966</v>
      </c>
      <c r="K388" s="9" t="s">
        <v>1717</v>
      </c>
      <c r="L388" s="9" t="s">
        <v>1721</v>
      </c>
      <c r="M388">
        <f t="shared" ca="1" si="12"/>
        <v>19</v>
      </c>
      <c r="N388">
        <f t="shared" ca="1" si="13"/>
        <v>9.5</v>
      </c>
    </row>
    <row r="389" spans="1:14" x14ac:dyDescent="0.3">
      <c r="A389" s="5" t="s">
        <v>1065</v>
      </c>
      <c r="B389" s="9" t="s">
        <v>1066</v>
      </c>
      <c r="C389" s="9" t="s">
        <v>91</v>
      </c>
      <c r="D389" s="9" t="s">
        <v>24</v>
      </c>
      <c r="E389" s="9" t="s">
        <v>16</v>
      </c>
      <c r="F389" s="9" t="s">
        <v>17</v>
      </c>
      <c r="G389" s="9" t="s">
        <v>26</v>
      </c>
      <c r="H389" s="5">
        <v>30</v>
      </c>
      <c r="I389" s="6">
        <v>42068</v>
      </c>
      <c r="J389" s="7">
        <v>52697</v>
      </c>
      <c r="K389" s="9" t="s">
        <v>19</v>
      </c>
      <c r="L389" s="9" t="s">
        <v>20</v>
      </c>
      <c r="M389">
        <f t="shared" ca="1" si="12"/>
        <v>10</v>
      </c>
      <c r="N389">
        <f t="shared" ca="1" si="13"/>
        <v>5.5</v>
      </c>
    </row>
    <row r="390" spans="1:14" x14ac:dyDescent="0.3">
      <c r="A390" s="5" t="s">
        <v>651</v>
      </c>
      <c r="B390" s="9" t="s">
        <v>652</v>
      </c>
      <c r="C390" s="9" t="s">
        <v>324</v>
      </c>
      <c r="D390" s="9" t="s">
        <v>15</v>
      </c>
      <c r="E390" s="9" t="s">
        <v>16</v>
      </c>
      <c r="F390" s="9" t="s">
        <v>35</v>
      </c>
      <c r="G390" s="9" t="s">
        <v>36</v>
      </c>
      <c r="H390" s="5">
        <v>45</v>
      </c>
      <c r="I390" s="6">
        <v>40235</v>
      </c>
      <c r="J390" s="7">
        <v>90770</v>
      </c>
      <c r="K390" s="9" t="s">
        <v>19</v>
      </c>
      <c r="L390" s="9" t="s">
        <v>76</v>
      </c>
      <c r="M390">
        <f t="shared" ca="1" si="12"/>
        <v>15</v>
      </c>
      <c r="N390">
        <f t="shared" ca="1" si="13"/>
        <v>8</v>
      </c>
    </row>
    <row r="391" spans="1:14" x14ac:dyDescent="0.3">
      <c r="A391" s="5" t="s">
        <v>705</v>
      </c>
      <c r="B391" s="9" t="s">
        <v>706</v>
      </c>
      <c r="C391" s="9" t="s">
        <v>324</v>
      </c>
      <c r="D391" s="9" t="s">
        <v>15</v>
      </c>
      <c r="E391" s="9" t="s">
        <v>31</v>
      </c>
      <c r="F391" s="9" t="s">
        <v>35</v>
      </c>
      <c r="G391" s="9" t="s">
        <v>36</v>
      </c>
      <c r="H391" s="5">
        <v>27</v>
      </c>
      <c r="I391" s="6">
        <v>44189</v>
      </c>
      <c r="J391" s="7">
        <v>92321</v>
      </c>
      <c r="K391" s="9" t="s">
        <v>19</v>
      </c>
      <c r="L391" s="9" t="s">
        <v>27</v>
      </c>
      <c r="M391">
        <f t="shared" ca="1" si="12"/>
        <v>4</v>
      </c>
      <c r="N391">
        <f t="shared" ca="1" si="13"/>
        <v>3</v>
      </c>
    </row>
    <row r="392" spans="1:14" x14ac:dyDescent="0.3">
      <c r="A392" s="5" t="s">
        <v>960</v>
      </c>
      <c r="B392" s="9" t="s">
        <v>961</v>
      </c>
      <c r="C392" s="9" t="s">
        <v>130</v>
      </c>
      <c r="D392" s="9" t="s">
        <v>60</v>
      </c>
      <c r="E392" s="9" t="s">
        <v>25</v>
      </c>
      <c r="F392" s="9" t="s">
        <v>35</v>
      </c>
      <c r="G392" s="9" t="s">
        <v>26</v>
      </c>
      <c r="H392" s="5">
        <v>45</v>
      </c>
      <c r="I392" s="6">
        <v>42329</v>
      </c>
      <c r="J392" s="7">
        <v>87292</v>
      </c>
      <c r="K392" s="9" t="s">
        <v>19</v>
      </c>
      <c r="L392" s="9" t="s">
        <v>76</v>
      </c>
      <c r="M392">
        <f t="shared" ca="1" si="12"/>
        <v>10</v>
      </c>
      <c r="N392">
        <f t="shared" ca="1" si="13"/>
        <v>5.5</v>
      </c>
    </row>
    <row r="393" spans="1:14" x14ac:dyDescent="0.3">
      <c r="A393" s="5" t="s">
        <v>1674</v>
      </c>
      <c r="B393" s="9" t="s">
        <v>1675</v>
      </c>
      <c r="C393" s="9" t="s">
        <v>23</v>
      </c>
      <c r="D393" s="9" t="s">
        <v>79</v>
      </c>
      <c r="E393" s="9" t="s">
        <v>41</v>
      </c>
      <c r="F393" s="9" t="s">
        <v>35</v>
      </c>
      <c r="G393" s="9" t="s">
        <v>36</v>
      </c>
      <c r="H393" s="5">
        <v>58</v>
      </c>
      <c r="I393" s="6">
        <v>33682</v>
      </c>
      <c r="J393" s="7">
        <v>199848</v>
      </c>
      <c r="K393" s="9" t="s">
        <v>1310</v>
      </c>
      <c r="L393" s="9" t="s">
        <v>1311</v>
      </c>
      <c r="M393">
        <f t="shared" ca="1" si="12"/>
        <v>33</v>
      </c>
      <c r="N393">
        <f t="shared" ca="1" si="13"/>
        <v>15</v>
      </c>
    </row>
    <row r="394" spans="1:14" x14ac:dyDescent="0.3">
      <c r="A394" s="5" t="s">
        <v>351</v>
      </c>
      <c r="B394" s="9" t="s">
        <v>352</v>
      </c>
      <c r="C394" s="9" t="s">
        <v>23</v>
      </c>
      <c r="D394" s="9" t="s">
        <v>56</v>
      </c>
      <c r="E394" s="9" t="s">
        <v>16</v>
      </c>
      <c r="F394" s="9" t="s">
        <v>17</v>
      </c>
      <c r="G394" s="9" t="s">
        <v>26</v>
      </c>
      <c r="H394" s="5">
        <v>51</v>
      </c>
      <c r="I394" s="6">
        <v>44283</v>
      </c>
      <c r="J394" s="7">
        <v>180687</v>
      </c>
      <c r="K394" s="9" t="s">
        <v>19</v>
      </c>
      <c r="L394" s="9" t="s">
        <v>37</v>
      </c>
      <c r="M394">
        <f t="shared" ca="1" si="12"/>
        <v>4</v>
      </c>
      <c r="N394">
        <f t="shared" ca="1" si="13"/>
        <v>3</v>
      </c>
    </row>
    <row r="395" spans="1:14" x14ac:dyDescent="0.3">
      <c r="A395" s="5" t="s">
        <v>1465</v>
      </c>
      <c r="B395" s="9" t="s">
        <v>1466</v>
      </c>
      <c r="C395" s="9" t="s">
        <v>14</v>
      </c>
      <c r="D395" s="9" t="s">
        <v>24</v>
      </c>
      <c r="E395" s="9" t="s">
        <v>41</v>
      </c>
      <c r="F395" s="9" t="s">
        <v>17</v>
      </c>
      <c r="G395" s="9" t="s">
        <v>36</v>
      </c>
      <c r="H395" s="5">
        <v>48</v>
      </c>
      <c r="I395" s="6">
        <v>37144</v>
      </c>
      <c r="J395" s="7">
        <v>125730</v>
      </c>
      <c r="K395" s="9" t="s">
        <v>1310</v>
      </c>
      <c r="L395" s="9" t="s">
        <v>1311</v>
      </c>
      <c r="M395">
        <f t="shared" ca="1" si="12"/>
        <v>24</v>
      </c>
      <c r="N395">
        <f t="shared" ca="1" si="13"/>
        <v>9.5</v>
      </c>
    </row>
    <row r="396" spans="1:14" x14ac:dyDescent="0.3">
      <c r="A396" s="5" t="s">
        <v>592</v>
      </c>
      <c r="B396" s="9" t="s">
        <v>593</v>
      </c>
      <c r="C396" s="9" t="s">
        <v>44</v>
      </c>
      <c r="D396" s="9" t="s">
        <v>24</v>
      </c>
      <c r="E396" s="9" t="s">
        <v>41</v>
      </c>
      <c r="F396" s="9" t="s">
        <v>17</v>
      </c>
      <c r="G396" s="9" t="s">
        <v>26</v>
      </c>
      <c r="H396" s="5">
        <v>63</v>
      </c>
      <c r="I396" s="6">
        <v>40984</v>
      </c>
      <c r="J396" s="7">
        <v>46081</v>
      </c>
      <c r="K396" s="9" t="s">
        <v>19</v>
      </c>
      <c r="L396" s="9" t="s">
        <v>27</v>
      </c>
      <c r="M396">
        <f t="shared" ca="1" si="12"/>
        <v>13</v>
      </c>
      <c r="N396">
        <f t="shared" ca="1" si="13"/>
        <v>8</v>
      </c>
    </row>
    <row r="397" spans="1:14" x14ac:dyDescent="0.3">
      <c r="A397" s="5" t="s">
        <v>892</v>
      </c>
      <c r="B397" s="9" t="s">
        <v>893</v>
      </c>
      <c r="C397" s="9" t="s">
        <v>181</v>
      </c>
      <c r="D397" s="9" t="s">
        <v>79</v>
      </c>
      <c r="E397" s="9" t="s">
        <v>16</v>
      </c>
      <c r="F397" s="9" t="s">
        <v>17</v>
      </c>
      <c r="G397" s="9" t="s">
        <v>18</v>
      </c>
      <c r="H397" s="5">
        <v>65</v>
      </c>
      <c r="I397" s="6">
        <v>36798</v>
      </c>
      <c r="J397" s="7">
        <v>67837</v>
      </c>
      <c r="K397" s="9" t="s">
        <v>19</v>
      </c>
      <c r="L397" s="9" t="s">
        <v>51</v>
      </c>
      <c r="M397">
        <f t="shared" ca="1" si="12"/>
        <v>25</v>
      </c>
      <c r="N397">
        <f t="shared" ca="1" si="13"/>
        <v>10</v>
      </c>
    </row>
    <row r="398" spans="1:14" x14ac:dyDescent="0.3">
      <c r="A398" s="5" t="s">
        <v>1409</v>
      </c>
      <c r="B398" s="9" t="s">
        <v>1410</v>
      </c>
      <c r="C398" s="9" t="s">
        <v>40</v>
      </c>
      <c r="D398" s="9" t="s">
        <v>15</v>
      </c>
      <c r="E398" s="9" t="s">
        <v>41</v>
      </c>
      <c r="F398" s="9" t="s">
        <v>35</v>
      </c>
      <c r="G398" s="9" t="s">
        <v>36</v>
      </c>
      <c r="H398" s="5">
        <v>51</v>
      </c>
      <c r="I398" s="6">
        <v>34388</v>
      </c>
      <c r="J398" s="7">
        <v>122802</v>
      </c>
      <c r="K398" s="9" t="s">
        <v>1310</v>
      </c>
      <c r="L398" s="9" t="s">
        <v>1316</v>
      </c>
      <c r="M398">
        <f t="shared" ca="1" si="12"/>
        <v>31</v>
      </c>
      <c r="N398">
        <f t="shared" ca="1" si="13"/>
        <v>15</v>
      </c>
    </row>
    <row r="399" spans="1:14" x14ac:dyDescent="0.3">
      <c r="A399" s="5" t="s">
        <v>89</v>
      </c>
      <c r="B399" s="9" t="s">
        <v>90</v>
      </c>
      <c r="C399" s="9" t="s">
        <v>91</v>
      </c>
      <c r="D399" s="9" t="s">
        <v>79</v>
      </c>
      <c r="E399" s="9" t="s">
        <v>16</v>
      </c>
      <c r="F399" s="9" t="s">
        <v>35</v>
      </c>
      <c r="G399" s="9" t="s">
        <v>26</v>
      </c>
      <c r="H399" s="5">
        <v>61</v>
      </c>
      <c r="I399" s="6">
        <v>39640</v>
      </c>
      <c r="J399" s="7">
        <v>66521</v>
      </c>
      <c r="K399" s="9" t="s">
        <v>19</v>
      </c>
      <c r="L399" s="9" t="s">
        <v>20</v>
      </c>
      <c r="M399">
        <f t="shared" ca="1" si="12"/>
        <v>17</v>
      </c>
      <c r="N399">
        <f t="shared" ca="1" si="13"/>
        <v>8</v>
      </c>
    </row>
    <row r="400" spans="1:14" x14ac:dyDescent="0.3">
      <c r="A400" s="5" t="s">
        <v>787</v>
      </c>
      <c r="B400" s="9" t="s">
        <v>788</v>
      </c>
      <c r="C400" s="9" t="s">
        <v>67</v>
      </c>
      <c r="D400" s="9" t="s">
        <v>15</v>
      </c>
      <c r="E400" s="9" t="s">
        <v>31</v>
      </c>
      <c r="F400" s="9" t="s">
        <v>35</v>
      </c>
      <c r="G400" s="9" t="s">
        <v>36</v>
      </c>
      <c r="H400" s="5">
        <v>37</v>
      </c>
      <c r="I400" s="6">
        <v>40719</v>
      </c>
      <c r="J400" s="7">
        <v>221592</v>
      </c>
      <c r="K400" s="9" t="s">
        <v>19</v>
      </c>
      <c r="L400" s="9" t="s">
        <v>76</v>
      </c>
      <c r="M400">
        <f t="shared" ca="1" si="12"/>
        <v>14</v>
      </c>
      <c r="N400">
        <f t="shared" ca="1" si="13"/>
        <v>8</v>
      </c>
    </row>
    <row r="401" spans="1:14" x14ac:dyDescent="0.3">
      <c r="A401" s="5" t="s">
        <v>1033</v>
      </c>
      <c r="B401" s="9" t="s">
        <v>1034</v>
      </c>
      <c r="C401" s="9" t="s">
        <v>96</v>
      </c>
      <c r="D401" s="9" t="s">
        <v>15</v>
      </c>
      <c r="E401" s="9" t="s">
        <v>31</v>
      </c>
      <c r="F401" s="9" t="s">
        <v>17</v>
      </c>
      <c r="G401" s="9" t="s">
        <v>36</v>
      </c>
      <c r="H401" s="5">
        <v>36</v>
      </c>
      <c r="I401" s="6">
        <v>41964</v>
      </c>
      <c r="J401" s="7">
        <v>97500</v>
      </c>
      <c r="K401" s="9" t="s">
        <v>19</v>
      </c>
      <c r="L401" s="9" t="s">
        <v>45</v>
      </c>
      <c r="M401">
        <f t="shared" ca="1" si="12"/>
        <v>11</v>
      </c>
      <c r="N401">
        <f t="shared" ca="1" si="13"/>
        <v>5.5</v>
      </c>
    </row>
    <row r="402" spans="1:14" x14ac:dyDescent="0.3">
      <c r="A402" s="5" t="s">
        <v>840</v>
      </c>
      <c r="B402" s="9" t="s">
        <v>841</v>
      </c>
      <c r="C402" s="9" t="s">
        <v>211</v>
      </c>
      <c r="D402" s="9" t="s">
        <v>15</v>
      </c>
      <c r="E402" s="9" t="s">
        <v>16</v>
      </c>
      <c r="F402" s="9" t="s">
        <v>17</v>
      </c>
      <c r="G402" s="9" t="s">
        <v>36</v>
      </c>
      <c r="H402" s="5">
        <v>65</v>
      </c>
      <c r="I402" s="6">
        <v>37749</v>
      </c>
      <c r="J402" s="7">
        <v>96548</v>
      </c>
      <c r="K402" s="9" t="s">
        <v>19</v>
      </c>
      <c r="L402" s="9" t="s">
        <v>51</v>
      </c>
      <c r="M402">
        <f t="shared" ca="1" si="12"/>
        <v>22</v>
      </c>
      <c r="N402">
        <f t="shared" ca="1" si="13"/>
        <v>9.5</v>
      </c>
    </row>
    <row r="403" spans="1:14" x14ac:dyDescent="0.3">
      <c r="A403" s="5" t="s">
        <v>216</v>
      </c>
      <c r="B403" s="9" t="s">
        <v>217</v>
      </c>
      <c r="C403" s="9" t="s">
        <v>23</v>
      </c>
      <c r="D403" s="9" t="s">
        <v>56</v>
      </c>
      <c r="E403" s="9" t="s">
        <v>41</v>
      </c>
      <c r="F403" s="9" t="s">
        <v>35</v>
      </c>
      <c r="G403" s="9" t="s">
        <v>26</v>
      </c>
      <c r="H403" s="5">
        <v>50</v>
      </c>
      <c r="I403" s="6">
        <v>35998</v>
      </c>
      <c r="J403" s="7">
        <v>174895</v>
      </c>
      <c r="K403" s="9" t="s">
        <v>19</v>
      </c>
      <c r="L403" s="9" t="s">
        <v>27</v>
      </c>
      <c r="M403">
        <f t="shared" ca="1" si="12"/>
        <v>27</v>
      </c>
      <c r="N403">
        <f t="shared" ca="1" si="13"/>
        <v>10</v>
      </c>
    </row>
    <row r="404" spans="1:14" x14ac:dyDescent="0.3">
      <c r="A404" s="5" t="s">
        <v>552</v>
      </c>
      <c r="B404" s="9" t="s">
        <v>553</v>
      </c>
      <c r="C404" s="9" t="s">
        <v>234</v>
      </c>
      <c r="D404" s="9" t="s">
        <v>15</v>
      </c>
      <c r="E404" s="9" t="s">
        <v>31</v>
      </c>
      <c r="F404" s="9" t="s">
        <v>35</v>
      </c>
      <c r="G404" s="9" t="s">
        <v>36</v>
      </c>
      <c r="H404" s="5">
        <v>40</v>
      </c>
      <c r="I404" s="6">
        <v>39293</v>
      </c>
      <c r="J404" s="7">
        <v>41859</v>
      </c>
      <c r="K404" s="9" t="s">
        <v>19</v>
      </c>
      <c r="L404" s="9" t="s">
        <v>20</v>
      </c>
      <c r="M404">
        <f t="shared" ca="1" si="12"/>
        <v>18</v>
      </c>
      <c r="N404">
        <f t="shared" ca="1" si="13"/>
        <v>9.5</v>
      </c>
    </row>
    <row r="405" spans="1:14" x14ac:dyDescent="0.3">
      <c r="A405" s="5" t="s">
        <v>1014</v>
      </c>
      <c r="B405" s="9" t="s">
        <v>1015</v>
      </c>
      <c r="C405" s="9" t="s">
        <v>34</v>
      </c>
      <c r="D405" s="9" t="s">
        <v>79</v>
      </c>
      <c r="E405" s="9" t="s">
        <v>31</v>
      </c>
      <c r="F405" s="9" t="s">
        <v>17</v>
      </c>
      <c r="G405" s="9" t="s">
        <v>26</v>
      </c>
      <c r="H405" s="5">
        <v>53</v>
      </c>
      <c r="I405" s="6">
        <v>42952</v>
      </c>
      <c r="J405" s="7">
        <v>89769</v>
      </c>
      <c r="K405" s="9" t="s">
        <v>19</v>
      </c>
      <c r="L405" s="9" t="s">
        <v>20</v>
      </c>
      <c r="M405">
        <f t="shared" ca="1" si="12"/>
        <v>8</v>
      </c>
      <c r="N405">
        <f t="shared" ca="1" si="13"/>
        <v>5.5</v>
      </c>
    </row>
    <row r="406" spans="1:14" x14ac:dyDescent="0.3">
      <c r="A406" s="5" t="s">
        <v>1014</v>
      </c>
      <c r="B406" s="9" t="s">
        <v>1926</v>
      </c>
      <c r="C406" s="9" t="s">
        <v>136</v>
      </c>
      <c r="D406" s="9" t="s">
        <v>60</v>
      </c>
      <c r="E406" s="9" t="s">
        <v>25</v>
      </c>
      <c r="F406" s="9" t="s">
        <v>17</v>
      </c>
      <c r="G406" s="9" t="s">
        <v>73</v>
      </c>
      <c r="H406" s="5">
        <v>29</v>
      </c>
      <c r="I406" s="6">
        <v>44099</v>
      </c>
      <c r="J406" s="7">
        <v>123588</v>
      </c>
      <c r="K406" s="9" t="s">
        <v>1717</v>
      </c>
      <c r="L406" s="9" t="s">
        <v>1736</v>
      </c>
      <c r="M406">
        <f t="shared" ca="1" si="12"/>
        <v>5</v>
      </c>
      <c r="N406">
        <f t="shared" ca="1" si="13"/>
        <v>3</v>
      </c>
    </row>
    <row r="407" spans="1:14" x14ac:dyDescent="0.3">
      <c r="A407" s="5" t="s">
        <v>355</v>
      </c>
      <c r="B407" s="9" t="s">
        <v>356</v>
      </c>
      <c r="C407" s="9" t="s">
        <v>196</v>
      </c>
      <c r="D407" s="9" t="s">
        <v>60</v>
      </c>
      <c r="E407" s="9" t="s">
        <v>16</v>
      </c>
      <c r="F407" s="9" t="s">
        <v>17</v>
      </c>
      <c r="G407" s="9" t="s">
        <v>26</v>
      </c>
      <c r="H407" s="5">
        <v>44</v>
      </c>
      <c r="I407" s="6">
        <v>40060</v>
      </c>
      <c r="J407" s="7">
        <v>89695</v>
      </c>
      <c r="K407" s="9" t="s">
        <v>19</v>
      </c>
      <c r="L407" s="9" t="s">
        <v>51</v>
      </c>
      <c r="M407">
        <f t="shared" ca="1" si="12"/>
        <v>16</v>
      </c>
      <c r="N407">
        <f t="shared" ca="1" si="13"/>
        <v>8</v>
      </c>
    </row>
    <row r="408" spans="1:14" x14ac:dyDescent="0.3">
      <c r="A408" s="5" t="s">
        <v>1643</v>
      </c>
      <c r="B408" s="9" t="s">
        <v>1644</v>
      </c>
      <c r="C408" s="9" t="s">
        <v>23</v>
      </c>
      <c r="D408" s="9" t="s">
        <v>24</v>
      </c>
      <c r="E408" s="9" t="s">
        <v>16</v>
      </c>
      <c r="F408" s="9" t="s">
        <v>17</v>
      </c>
      <c r="G408" s="9" t="s">
        <v>36</v>
      </c>
      <c r="H408" s="5">
        <v>25</v>
      </c>
      <c r="I408" s="6">
        <v>44303</v>
      </c>
      <c r="J408" s="7">
        <v>186870</v>
      </c>
      <c r="K408" s="9" t="s">
        <v>1310</v>
      </c>
      <c r="L408" s="9" t="s">
        <v>1316</v>
      </c>
      <c r="M408">
        <f t="shared" ca="1" si="12"/>
        <v>4</v>
      </c>
      <c r="N408">
        <f t="shared" ca="1" si="13"/>
        <v>3</v>
      </c>
    </row>
    <row r="409" spans="1:14" x14ac:dyDescent="0.3">
      <c r="A409" s="5" t="s">
        <v>1668</v>
      </c>
      <c r="B409" s="9" t="s">
        <v>1669</v>
      </c>
      <c r="C409" s="9" t="s">
        <v>307</v>
      </c>
      <c r="D409" s="9" t="s">
        <v>15</v>
      </c>
      <c r="E409" s="9" t="s">
        <v>31</v>
      </c>
      <c r="F409" s="9" t="s">
        <v>35</v>
      </c>
      <c r="G409" s="9" t="s">
        <v>36</v>
      </c>
      <c r="H409" s="5">
        <v>45</v>
      </c>
      <c r="I409" s="6">
        <v>40253</v>
      </c>
      <c r="J409" s="7">
        <v>88182</v>
      </c>
      <c r="K409" s="9" t="s">
        <v>1310</v>
      </c>
      <c r="L409" s="9" t="s">
        <v>1330</v>
      </c>
      <c r="M409">
        <f t="shared" ca="1" si="12"/>
        <v>15</v>
      </c>
      <c r="N409">
        <f t="shared" ca="1" si="13"/>
        <v>8</v>
      </c>
    </row>
    <row r="410" spans="1:14" x14ac:dyDescent="0.3">
      <c r="A410" s="5" t="s">
        <v>1447</v>
      </c>
      <c r="B410" s="9" t="s">
        <v>1448</v>
      </c>
      <c r="C410" s="9" t="s">
        <v>14</v>
      </c>
      <c r="D410" s="9" t="s">
        <v>68</v>
      </c>
      <c r="E410" s="9" t="s">
        <v>41</v>
      </c>
      <c r="F410" s="9" t="s">
        <v>17</v>
      </c>
      <c r="G410" s="9" t="s">
        <v>36</v>
      </c>
      <c r="H410" s="5">
        <v>59</v>
      </c>
      <c r="I410" s="6">
        <v>39689</v>
      </c>
      <c r="J410" s="7">
        <v>157969</v>
      </c>
      <c r="K410" s="9" t="s">
        <v>1310</v>
      </c>
      <c r="L410" s="9" t="s">
        <v>1311</v>
      </c>
      <c r="M410">
        <f t="shared" ca="1" si="12"/>
        <v>17</v>
      </c>
      <c r="N410">
        <f t="shared" ca="1" si="13"/>
        <v>8</v>
      </c>
    </row>
    <row r="411" spans="1:14" x14ac:dyDescent="0.3">
      <c r="A411" s="5" t="s">
        <v>573</v>
      </c>
      <c r="B411" s="9" t="s">
        <v>574</v>
      </c>
      <c r="C411" s="9" t="s">
        <v>139</v>
      </c>
      <c r="D411" s="9" t="s">
        <v>56</v>
      </c>
      <c r="E411" s="9" t="s">
        <v>31</v>
      </c>
      <c r="F411" s="9" t="s">
        <v>17</v>
      </c>
      <c r="G411" s="9" t="s">
        <v>18</v>
      </c>
      <c r="H411" s="5">
        <v>42</v>
      </c>
      <c r="I411" s="6">
        <v>44092</v>
      </c>
      <c r="J411" s="7">
        <v>47071</v>
      </c>
      <c r="K411" s="9" t="s">
        <v>19</v>
      </c>
      <c r="L411" s="9" t="s">
        <v>76</v>
      </c>
      <c r="M411">
        <f t="shared" ca="1" si="12"/>
        <v>5</v>
      </c>
      <c r="N411">
        <f t="shared" ca="1" si="13"/>
        <v>3</v>
      </c>
    </row>
    <row r="412" spans="1:14" x14ac:dyDescent="0.3">
      <c r="A412" s="5" t="s">
        <v>1946</v>
      </c>
      <c r="B412" s="9" t="s">
        <v>1947</v>
      </c>
      <c r="C412" s="9" t="s">
        <v>34</v>
      </c>
      <c r="D412" s="9" t="s">
        <v>79</v>
      </c>
      <c r="E412" s="9" t="s">
        <v>31</v>
      </c>
      <c r="F412" s="9" t="s">
        <v>35</v>
      </c>
      <c r="G412" s="9" t="s">
        <v>73</v>
      </c>
      <c r="H412" s="5">
        <v>51</v>
      </c>
      <c r="I412" s="6">
        <v>35852</v>
      </c>
      <c r="J412" s="7">
        <v>71111</v>
      </c>
      <c r="K412" s="9" t="s">
        <v>1717</v>
      </c>
      <c r="L412" s="9" t="s">
        <v>1721</v>
      </c>
      <c r="M412">
        <f t="shared" ca="1" si="12"/>
        <v>27</v>
      </c>
      <c r="N412">
        <f t="shared" ca="1" si="13"/>
        <v>10</v>
      </c>
    </row>
    <row r="413" spans="1:14" x14ac:dyDescent="0.3">
      <c r="A413" s="5" t="s">
        <v>1220</v>
      </c>
      <c r="B413" s="9" t="s">
        <v>1221</v>
      </c>
      <c r="C413" s="9" t="s">
        <v>14</v>
      </c>
      <c r="D413" s="9" t="s">
        <v>79</v>
      </c>
      <c r="E413" s="9" t="s">
        <v>25</v>
      </c>
      <c r="F413" s="9" t="s">
        <v>35</v>
      </c>
      <c r="G413" s="9" t="s">
        <v>73</v>
      </c>
      <c r="H413" s="5">
        <v>54</v>
      </c>
      <c r="I413" s="6">
        <v>40836</v>
      </c>
      <c r="J413" s="7">
        <v>122644</v>
      </c>
      <c r="K413" s="9" t="s">
        <v>19</v>
      </c>
      <c r="L413" s="9" t="s">
        <v>51</v>
      </c>
      <c r="M413">
        <f t="shared" ca="1" si="12"/>
        <v>14</v>
      </c>
      <c r="N413">
        <f t="shared" ca="1" si="13"/>
        <v>8</v>
      </c>
    </row>
    <row r="414" spans="1:14" x14ac:dyDescent="0.3">
      <c r="A414" s="5" t="s">
        <v>1797</v>
      </c>
      <c r="B414" s="9" t="s">
        <v>1798</v>
      </c>
      <c r="C414" s="9" t="s">
        <v>44</v>
      </c>
      <c r="D414" s="9" t="s">
        <v>50</v>
      </c>
      <c r="E414" s="9" t="s">
        <v>16</v>
      </c>
      <c r="F414" s="9" t="s">
        <v>17</v>
      </c>
      <c r="G414" s="9" t="s">
        <v>73</v>
      </c>
      <c r="H414" s="5">
        <v>55</v>
      </c>
      <c r="I414" s="6">
        <v>35242</v>
      </c>
      <c r="J414" s="7">
        <v>48687</v>
      </c>
      <c r="K414" s="9" t="s">
        <v>1717</v>
      </c>
      <c r="L414" s="9" t="s">
        <v>1721</v>
      </c>
      <c r="M414">
        <f t="shared" ca="1" si="12"/>
        <v>29</v>
      </c>
      <c r="N414">
        <f t="shared" ca="1" si="13"/>
        <v>10</v>
      </c>
    </row>
    <row r="415" spans="1:14" x14ac:dyDescent="0.3">
      <c r="A415" s="5" t="s">
        <v>1884</v>
      </c>
      <c r="B415" s="9" t="s">
        <v>1885</v>
      </c>
      <c r="C415" s="9" t="s">
        <v>184</v>
      </c>
      <c r="D415" s="9" t="s">
        <v>56</v>
      </c>
      <c r="E415" s="9" t="s">
        <v>16</v>
      </c>
      <c r="F415" s="9" t="s">
        <v>35</v>
      </c>
      <c r="G415" s="9" t="s">
        <v>73</v>
      </c>
      <c r="H415" s="5">
        <v>32</v>
      </c>
      <c r="I415" s="6">
        <v>44295</v>
      </c>
      <c r="J415" s="7">
        <v>70980</v>
      </c>
      <c r="K415" s="9" t="s">
        <v>1717</v>
      </c>
      <c r="L415" s="9" t="s">
        <v>1721</v>
      </c>
      <c r="M415">
        <f t="shared" ca="1" si="12"/>
        <v>4</v>
      </c>
      <c r="N415">
        <f t="shared" ca="1" si="13"/>
        <v>3</v>
      </c>
    </row>
    <row r="416" spans="1:14" x14ac:dyDescent="0.3">
      <c r="A416" s="5" t="s">
        <v>1611</v>
      </c>
      <c r="B416" s="9" t="s">
        <v>1612</v>
      </c>
      <c r="C416" s="9" t="s">
        <v>40</v>
      </c>
      <c r="D416" s="9" t="s">
        <v>56</v>
      </c>
      <c r="E416" s="9" t="s">
        <v>41</v>
      </c>
      <c r="F416" s="9" t="s">
        <v>35</v>
      </c>
      <c r="G416" s="9" t="s">
        <v>36</v>
      </c>
      <c r="H416" s="5">
        <v>48</v>
      </c>
      <c r="I416" s="6">
        <v>42201</v>
      </c>
      <c r="J416" s="7">
        <v>110565</v>
      </c>
      <c r="K416" s="9" t="s">
        <v>1310</v>
      </c>
      <c r="L416" s="9" t="s">
        <v>1323</v>
      </c>
      <c r="M416">
        <f t="shared" ca="1" si="12"/>
        <v>10</v>
      </c>
      <c r="N416">
        <f t="shared" ca="1" si="13"/>
        <v>5.5</v>
      </c>
    </row>
    <row r="417" spans="1:14" x14ac:dyDescent="0.3">
      <c r="A417" s="5" t="s">
        <v>1319</v>
      </c>
      <c r="B417" s="9" t="s">
        <v>1320</v>
      </c>
      <c r="C417" s="9" t="s">
        <v>67</v>
      </c>
      <c r="D417" s="9" t="s">
        <v>79</v>
      </c>
      <c r="E417" s="9" t="s">
        <v>25</v>
      </c>
      <c r="F417" s="9" t="s">
        <v>35</v>
      </c>
      <c r="G417" s="9" t="s">
        <v>36</v>
      </c>
      <c r="H417" s="5">
        <v>44</v>
      </c>
      <c r="I417" s="6">
        <v>41700</v>
      </c>
      <c r="J417" s="7">
        <v>207172</v>
      </c>
      <c r="K417" s="9" t="s">
        <v>1310</v>
      </c>
      <c r="L417" s="9" t="s">
        <v>1311</v>
      </c>
      <c r="M417">
        <f t="shared" ca="1" si="12"/>
        <v>11</v>
      </c>
      <c r="N417">
        <f t="shared" ca="1" si="13"/>
        <v>5.5</v>
      </c>
    </row>
    <row r="418" spans="1:14" x14ac:dyDescent="0.3">
      <c r="A418" s="5" t="s">
        <v>415</v>
      </c>
      <c r="B418" s="9" t="s">
        <v>416</v>
      </c>
      <c r="C418" s="9" t="s">
        <v>121</v>
      </c>
      <c r="D418" s="9" t="s">
        <v>56</v>
      </c>
      <c r="E418" s="9" t="s">
        <v>25</v>
      </c>
      <c r="F418" s="9" t="s">
        <v>35</v>
      </c>
      <c r="G418" s="9" t="s">
        <v>26</v>
      </c>
      <c r="H418" s="5">
        <v>26</v>
      </c>
      <c r="I418" s="6">
        <v>44267</v>
      </c>
      <c r="J418" s="7">
        <v>70369</v>
      </c>
      <c r="K418" s="9" t="s">
        <v>19</v>
      </c>
      <c r="L418" s="9" t="s">
        <v>20</v>
      </c>
      <c r="M418">
        <f t="shared" ca="1" si="12"/>
        <v>4</v>
      </c>
      <c r="N418">
        <f t="shared" ca="1" si="13"/>
        <v>3</v>
      </c>
    </row>
    <row r="419" spans="1:14" x14ac:dyDescent="0.3">
      <c r="A419" s="5" t="s">
        <v>94</v>
      </c>
      <c r="B419" s="9" t="s">
        <v>95</v>
      </c>
      <c r="C419" s="9" t="s">
        <v>96</v>
      </c>
      <c r="D419" s="9" t="s">
        <v>15</v>
      </c>
      <c r="E419" s="9" t="s">
        <v>31</v>
      </c>
      <c r="F419" s="9" t="s">
        <v>17</v>
      </c>
      <c r="G419" s="9" t="s">
        <v>26</v>
      </c>
      <c r="H419" s="5">
        <v>32</v>
      </c>
      <c r="I419" s="6">
        <v>41681</v>
      </c>
      <c r="J419" s="7">
        <v>99575</v>
      </c>
      <c r="K419" s="9" t="s">
        <v>19</v>
      </c>
      <c r="L419" s="9" t="s">
        <v>51</v>
      </c>
      <c r="M419">
        <f t="shared" ca="1" si="12"/>
        <v>11</v>
      </c>
      <c r="N419">
        <f t="shared" ca="1" si="13"/>
        <v>5.5</v>
      </c>
    </row>
    <row r="420" spans="1:14" x14ac:dyDescent="0.3">
      <c r="A420" s="5" t="s">
        <v>738</v>
      </c>
      <c r="B420" s="9" t="s">
        <v>739</v>
      </c>
      <c r="C420" s="9" t="s">
        <v>14</v>
      </c>
      <c r="D420" s="9" t="s">
        <v>24</v>
      </c>
      <c r="E420" s="9" t="s">
        <v>41</v>
      </c>
      <c r="F420" s="9" t="s">
        <v>17</v>
      </c>
      <c r="G420" s="9" t="s">
        <v>73</v>
      </c>
      <c r="H420" s="5">
        <v>55</v>
      </c>
      <c r="I420" s="6">
        <v>42772</v>
      </c>
      <c r="J420" s="7">
        <v>144986</v>
      </c>
      <c r="K420" s="9" t="s">
        <v>19</v>
      </c>
      <c r="L420" s="9" t="s">
        <v>37</v>
      </c>
      <c r="M420">
        <f t="shared" ca="1" si="12"/>
        <v>8</v>
      </c>
      <c r="N420">
        <f t="shared" ca="1" si="13"/>
        <v>5.5</v>
      </c>
    </row>
    <row r="421" spans="1:14" x14ac:dyDescent="0.3">
      <c r="A421" s="5" t="s">
        <v>1377</v>
      </c>
      <c r="B421" s="9" t="s">
        <v>1378</v>
      </c>
      <c r="C421" s="9" t="s">
        <v>178</v>
      </c>
      <c r="D421" s="9" t="s">
        <v>15</v>
      </c>
      <c r="E421" s="9" t="s">
        <v>25</v>
      </c>
      <c r="F421" s="9" t="s">
        <v>35</v>
      </c>
      <c r="G421" s="9" t="s">
        <v>36</v>
      </c>
      <c r="H421" s="5">
        <v>45</v>
      </c>
      <c r="I421" s="6">
        <v>38613</v>
      </c>
      <c r="J421" s="7">
        <v>67686</v>
      </c>
      <c r="K421" s="9" t="s">
        <v>1310</v>
      </c>
      <c r="L421" s="9" t="s">
        <v>1323</v>
      </c>
      <c r="M421">
        <f t="shared" ca="1" si="12"/>
        <v>20</v>
      </c>
      <c r="N421">
        <f t="shared" ca="1" si="13"/>
        <v>9.5</v>
      </c>
    </row>
    <row r="422" spans="1:14" x14ac:dyDescent="0.3">
      <c r="A422" s="5" t="s">
        <v>1545</v>
      </c>
      <c r="B422" s="9" t="s">
        <v>1546</v>
      </c>
      <c r="C422" s="9" t="s">
        <v>121</v>
      </c>
      <c r="D422" s="9" t="s">
        <v>56</v>
      </c>
      <c r="E422" s="9" t="s">
        <v>41</v>
      </c>
      <c r="F422" s="9" t="s">
        <v>35</v>
      </c>
      <c r="G422" s="9" t="s">
        <v>36</v>
      </c>
      <c r="H422" s="5">
        <v>31</v>
      </c>
      <c r="I422" s="6">
        <v>43002</v>
      </c>
      <c r="J422" s="7">
        <v>71755</v>
      </c>
      <c r="K422" s="9" t="s">
        <v>1310</v>
      </c>
      <c r="L422" s="9" t="s">
        <v>1311</v>
      </c>
      <c r="M422">
        <f t="shared" ca="1" si="12"/>
        <v>8</v>
      </c>
      <c r="N422">
        <f t="shared" ca="1" si="13"/>
        <v>5.5</v>
      </c>
    </row>
    <row r="423" spans="1:14" x14ac:dyDescent="0.3">
      <c r="A423" s="5" t="s">
        <v>559</v>
      </c>
      <c r="B423" s="9" t="s">
        <v>560</v>
      </c>
      <c r="C423" s="9" t="s">
        <v>14</v>
      </c>
      <c r="D423" s="9" t="s">
        <v>24</v>
      </c>
      <c r="E423" s="9" t="s">
        <v>16</v>
      </c>
      <c r="F423" s="9" t="s">
        <v>17</v>
      </c>
      <c r="G423" s="9" t="s">
        <v>26</v>
      </c>
      <c r="H423" s="5">
        <v>51</v>
      </c>
      <c r="I423" s="6">
        <v>38835</v>
      </c>
      <c r="J423" s="7">
        <v>150758</v>
      </c>
      <c r="K423" s="9" t="s">
        <v>19</v>
      </c>
      <c r="L423" s="9" t="s">
        <v>27</v>
      </c>
      <c r="M423">
        <f t="shared" ca="1" si="12"/>
        <v>19</v>
      </c>
      <c r="N423">
        <f t="shared" ca="1" si="13"/>
        <v>9.5</v>
      </c>
    </row>
    <row r="424" spans="1:14" x14ac:dyDescent="0.3">
      <c r="A424" s="5" t="s">
        <v>143</v>
      </c>
      <c r="B424" s="9" t="s">
        <v>144</v>
      </c>
      <c r="C424" s="9" t="s">
        <v>67</v>
      </c>
      <c r="D424" s="9" t="s">
        <v>56</v>
      </c>
      <c r="E424" s="9" t="s">
        <v>25</v>
      </c>
      <c r="F424" s="9" t="s">
        <v>35</v>
      </c>
      <c r="G424" s="9" t="s">
        <v>18</v>
      </c>
      <c r="H424" s="5">
        <v>45</v>
      </c>
      <c r="I424" s="6">
        <v>41493</v>
      </c>
      <c r="J424" s="7">
        <v>236946</v>
      </c>
      <c r="K424" s="9" t="s">
        <v>19</v>
      </c>
      <c r="L424" s="9" t="s">
        <v>20</v>
      </c>
      <c r="M424">
        <f t="shared" ca="1" si="12"/>
        <v>12</v>
      </c>
      <c r="N424">
        <f t="shared" ca="1" si="13"/>
        <v>8</v>
      </c>
    </row>
    <row r="425" spans="1:14" x14ac:dyDescent="0.3">
      <c r="A425" s="5" t="s">
        <v>327</v>
      </c>
      <c r="B425" s="9" t="s">
        <v>328</v>
      </c>
      <c r="C425" s="9" t="s">
        <v>34</v>
      </c>
      <c r="D425" s="9" t="s">
        <v>79</v>
      </c>
      <c r="E425" s="9" t="s">
        <v>41</v>
      </c>
      <c r="F425" s="9" t="s">
        <v>35</v>
      </c>
      <c r="G425" s="9" t="s">
        <v>18</v>
      </c>
      <c r="H425" s="5">
        <v>36</v>
      </c>
      <c r="I425" s="6">
        <v>44556</v>
      </c>
      <c r="J425" s="7">
        <v>75119</v>
      </c>
      <c r="K425" s="9" t="s">
        <v>19</v>
      </c>
      <c r="L425" s="9" t="s">
        <v>27</v>
      </c>
      <c r="M425">
        <f t="shared" ca="1" si="12"/>
        <v>3</v>
      </c>
      <c r="N425">
        <f t="shared" ca="1" si="13"/>
        <v>3</v>
      </c>
    </row>
    <row r="426" spans="1:14" x14ac:dyDescent="0.3">
      <c r="A426" s="5" t="s">
        <v>1145</v>
      </c>
      <c r="B426" s="9" t="s">
        <v>1146</v>
      </c>
      <c r="C426" s="9" t="s">
        <v>157</v>
      </c>
      <c r="D426" s="9" t="s">
        <v>15</v>
      </c>
      <c r="E426" s="9" t="s">
        <v>41</v>
      </c>
      <c r="F426" s="9" t="s">
        <v>35</v>
      </c>
      <c r="G426" s="9" t="s">
        <v>73</v>
      </c>
      <c r="H426" s="5">
        <v>30</v>
      </c>
      <c r="I426" s="6">
        <v>42777</v>
      </c>
      <c r="J426" s="7">
        <v>92058</v>
      </c>
      <c r="K426" s="9" t="s">
        <v>19</v>
      </c>
      <c r="L426" s="9" t="s">
        <v>51</v>
      </c>
      <c r="M426">
        <f t="shared" ca="1" si="12"/>
        <v>8</v>
      </c>
      <c r="N426">
        <f t="shared" ca="1" si="13"/>
        <v>5.5</v>
      </c>
    </row>
    <row r="427" spans="1:14" x14ac:dyDescent="0.3">
      <c r="A427" s="5" t="s">
        <v>126</v>
      </c>
      <c r="B427" s="9" t="s">
        <v>127</v>
      </c>
      <c r="C427" s="9" t="s">
        <v>23</v>
      </c>
      <c r="D427" s="9" t="s">
        <v>50</v>
      </c>
      <c r="E427" s="9" t="s">
        <v>16</v>
      </c>
      <c r="F427" s="9" t="s">
        <v>17</v>
      </c>
      <c r="G427" s="9" t="s">
        <v>36</v>
      </c>
      <c r="H427" s="5">
        <v>36</v>
      </c>
      <c r="I427" s="6">
        <v>42276</v>
      </c>
      <c r="J427" s="7">
        <v>178700</v>
      </c>
      <c r="K427" s="9" t="s">
        <v>19</v>
      </c>
      <c r="L427" s="9" t="s">
        <v>20</v>
      </c>
      <c r="M427">
        <f t="shared" ca="1" si="12"/>
        <v>10</v>
      </c>
      <c r="N427">
        <f t="shared" ca="1" si="13"/>
        <v>5.5</v>
      </c>
    </row>
    <row r="428" spans="1:14" x14ac:dyDescent="0.3">
      <c r="A428" s="5" t="s">
        <v>679</v>
      </c>
      <c r="B428" s="9" t="s">
        <v>680</v>
      </c>
      <c r="C428" s="9" t="s">
        <v>67</v>
      </c>
      <c r="D428" s="9" t="s">
        <v>56</v>
      </c>
      <c r="E428" s="9" t="s">
        <v>25</v>
      </c>
      <c r="F428" s="9" t="s">
        <v>17</v>
      </c>
      <c r="G428" s="9" t="s">
        <v>36</v>
      </c>
      <c r="H428" s="5">
        <v>45</v>
      </c>
      <c r="I428" s="6">
        <v>44461</v>
      </c>
      <c r="J428" s="7">
        <v>201396</v>
      </c>
      <c r="K428" s="9" t="s">
        <v>19</v>
      </c>
      <c r="L428" s="9" t="s">
        <v>45</v>
      </c>
      <c r="M428">
        <f t="shared" ca="1" si="12"/>
        <v>4</v>
      </c>
      <c r="N428">
        <f t="shared" ca="1" si="13"/>
        <v>3</v>
      </c>
    </row>
    <row r="429" spans="1:14" x14ac:dyDescent="0.3">
      <c r="A429" s="5" t="s">
        <v>1809</v>
      </c>
      <c r="B429" s="9" t="s">
        <v>1810</v>
      </c>
      <c r="C429" s="9" t="s">
        <v>40</v>
      </c>
      <c r="D429" s="9" t="s">
        <v>24</v>
      </c>
      <c r="E429" s="9" t="s">
        <v>25</v>
      </c>
      <c r="F429" s="9" t="s">
        <v>17</v>
      </c>
      <c r="G429" s="9" t="s">
        <v>73</v>
      </c>
      <c r="H429" s="5">
        <v>55</v>
      </c>
      <c r="I429" s="6">
        <v>40297</v>
      </c>
      <c r="J429" s="7">
        <v>111038</v>
      </c>
      <c r="K429" s="9" t="s">
        <v>1717</v>
      </c>
      <c r="L429" s="9" t="s">
        <v>1736</v>
      </c>
      <c r="M429">
        <f t="shared" ca="1" si="12"/>
        <v>15</v>
      </c>
      <c r="N429">
        <f t="shared" ca="1" si="13"/>
        <v>8</v>
      </c>
    </row>
    <row r="430" spans="1:14" x14ac:dyDescent="0.3">
      <c r="A430" s="5" t="s">
        <v>429</v>
      </c>
      <c r="B430" s="9" t="s">
        <v>430</v>
      </c>
      <c r="C430" s="9" t="s">
        <v>142</v>
      </c>
      <c r="D430" s="9" t="s">
        <v>60</v>
      </c>
      <c r="E430" s="9" t="s">
        <v>16</v>
      </c>
      <c r="F430" s="9" t="s">
        <v>35</v>
      </c>
      <c r="G430" s="9" t="s">
        <v>73</v>
      </c>
      <c r="H430" s="5">
        <v>54</v>
      </c>
      <c r="I430" s="6">
        <v>39382</v>
      </c>
      <c r="J430" s="7">
        <v>106313</v>
      </c>
      <c r="K430" s="9" t="s">
        <v>19</v>
      </c>
      <c r="L430" s="9" t="s">
        <v>27</v>
      </c>
      <c r="M430">
        <f t="shared" ca="1" si="12"/>
        <v>18</v>
      </c>
      <c r="N430">
        <f t="shared" ca="1" si="13"/>
        <v>9.5</v>
      </c>
    </row>
    <row r="431" spans="1:14" x14ac:dyDescent="0.3">
      <c r="A431" s="5" t="s">
        <v>1199</v>
      </c>
      <c r="B431" s="9" t="s">
        <v>1200</v>
      </c>
      <c r="C431" s="9" t="s">
        <v>44</v>
      </c>
      <c r="D431" s="9" t="s">
        <v>50</v>
      </c>
      <c r="E431" s="9" t="s">
        <v>41</v>
      </c>
      <c r="F431" s="9" t="s">
        <v>17</v>
      </c>
      <c r="G431" s="9" t="s">
        <v>73</v>
      </c>
      <c r="H431" s="5">
        <v>26</v>
      </c>
      <c r="I431" s="6">
        <v>43489</v>
      </c>
      <c r="J431" s="7">
        <v>55767</v>
      </c>
      <c r="K431" s="9" t="s">
        <v>19</v>
      </c>
      <c r="L431" s="9" t="s">
        <v>37</v>
      </c>
      <c r="M431">
        <f t="shared" ca="1" si="12"/>
        <v>6</v>
      </c>
      <c r="N431">
        <f t="shared" ca="1" si="13"/>
        <v>4</v>
      </c>
    </row>
    <row r="432" spans="1:14" x14ac:dyDescent="0.3">
      <c r="A432" s="5" t="s">
        <v>166</v>
      </c>
      <c r="B432" s="9" t="s">
        <v>167</v>
      </c>
      <c r="C432" s="9" t="s">
        <v>14</v>
      </c>
      <c r="D432" s="9" t="s">
        <v>24</v>
      </c>
      <c r="E432" s="9" t="s">
        <v>31</v>
      </c>
      <c r="F432" s="9" t="s">
        <v>35</v>
      </c>
      <c r="G432" s="9" t="s">
        <v>73</v>
      </c>
      <c r="H432" s="5">
        <v>60</v>
      </c>
      <c r="I432" s="6">
        <v>42270</v>
      </c>
      <c r="J432" s="7">
        <v>141899</v>
      </c>
      <c r="K432" s="9" t="s">
        <v>19</v>
      </c>
      <c r="L432" s="9" t="s">
        <v>37</v>
      </c>
      <c r="M432">
        <f t="shared" ca="1" si="12"/>
        <v>10</v>
      </c>
      <c r="N432">
        <f t="shared" ca="1" si="13"/>
        <v>5.5</v>
      </c>
    </row>
    <row r="433" spans="1:14" x14ac:dyDescent="0.3">
      <c r="A433" s="5" t="s">
        <v>166</v>
      </c>
      <c r="B433" s="9" t="s">
        <v>264</v>
      </c>
      <c r="C433" s="9" t="s">
        <v>40</v>
      </c>
      <c r="D433" s="9" t="s">
        <v>50</v>
      </c>
      <c r="E433" s="9" t="s">
        <v>16</v>
      </c>
      <c r="F433" s="9" t="s">
        <v>35</v>
      </c>
      <c r="G433" s="9" t="s">
        <v>26</v>
      </c>
      <c r="H433" s="5">
        <v>55</v>
      </c>
      <c r="I433" s="6">
        <v>36644</v>
      </c>
      <c r="J433" s="7">
        <v>115798</v>
      </c>
      <c r="K433" s="9" t="s">
        <v>19</v>
      </c>
      <c r="L433" s="9" t="s">
        <v>45</v>
      </c>
      <c r="M433">
        <f t="shared" ca="1" si="12"/>
        <v>25</v>
      </c>
      <c r="N433">
        <f t="shared" ca="1" si="13"/>
        <v>10</v>
      </c>
    </row>
    <row r="434" spans="1:14" x14ac:dyDescent="0.3">
      <c r="A434" s="5" t="s">
        <v>730</v>
      </c>
      <c r="B434" s="9" t="s">
        <v>731</v>
      </c>
      <c r="C434" s="9" t="s">
        <v>59</v>
      </c>
      <c r="D434" s="9" t="s">
        <v>60</v>
      </c>
      <c r="E434" s="9" t="s">
        <v>25</v>
      </c>
      <c r="F434" s="9" t="s">
        <v>17</v>
      </c>
      <c r="G434" s="9" t="s">
        <v>26</v>
      </c>
      <c r="H434" s="5">
        <v>48</v>
      </c>
      <c r="I434" s="6">
        <v>41907</v>
      </c>
      <c r="J434" s="7">
        <v>96693</v>
      </c>
      <c r="K434" s="9" t="s">
        <v>19</v>
      </c>
      <c r="L434" s="9" t="s">
        <v>27</v>
      </c>
      <c r="M434">
        <f t="shared" ca="1" si="12"/>
        <v>11</v>
      </c>
      <c r="N434">
        <f t="shared" ca="1" si="13"/>
        <v>5.5</v>
      </c>
    </row>
    <row r="435" spans="1:14" x14ac:dyDescent="0.3">
      <c r="A435" s="5" t="s">
        <v>314</v>
      </c>
      <c r="B435" s="9" t="s">
        <v>315</v>
      </c>
      <c r="C435" s="9" t="s">
        <v>44</v>
      </c>
      <c r="D435" s="9" t="s">
        <v>79</v>
      </c>
      <c r="E435" s="9" t="s">
        <v>41</v>
      </c>
      <c r="F435" s="9" t="s">
        <v>17</v>
      </c>
      <c r="G435" s="9" t="s">
        <v>73</v>
      </c>
      <c r="H435" s="5">
        <v>47</v>
      </c>
      <c r="I435" s="6">
        <v>42164</v>
      </c>
      <c r="J435" s="7">
        <v>41429</v>
      </c>
      <c r="K435" s="9" t="s">
        <v>19</v>
      </c>
      <c r="L435" s="9" t="s">
        <v>20</v>
      </c>
      <c r="M435">
        <f t="shared" ca="1" si="12"/>
        <v>10</v>
      </c>
      <c r="N435">
        <f t="shared" ca="1" si="13"/>
        <v>5.5</v>
      </c>
    </row>
    <row r="436" spans="1:14" x14ac:dyDescent="0.3">
      <c r="A436" s="5" t="s">
        <v>110</v>
      </c>
      <c r="B436" s="9" t="s">
        <v>1528</v>
      </c>
      <c r="C436" s="9" t="s">
        <v>184</v>
      </c>
      <c r="D436" s="9" t="s">
        <v>56</v>
      </c>
      <c r="E436" s="9" t="s">
        <v>16</v>
      </c>
      <c r="F436" s="9" t="s">
        <v>17</v>
      </c>
      <c r="G436" s="9" t="s">
        <v>36</v>
      </c>
      <c r="H436" s="5">
        <v>60</v>
      </c>
      <c r="I436" s="6">
        <v>38667</v>
      </c>
      <c r="J436" s="7">
        <v>78388</v>
      </c>
      <c r="K436" s="9" t="s">
        <v>1310</v>
      </c>
      <c r="L436" s="9" t="s">
        <v>1311</v>
      </c>
      <c r="M436">
        <f t="shared" ca="1" si="12"/>
        <v>20</v>
      </c>
      <c r="N436">
        <f t="shared" ca="1" si="13"/>
        <v>9.5</v>
      </c>
    </row>
    <row r="437" spans="1:14" x14ac:dyDescent="0.3">
      <c r="A437" s="5" t="s">
        <v>110</v>
      </c>
      <c r="B437" s="9" t="s">
        <v>111</v>
      </c>
      <c r="C437" s="9" t="s">
        <v>30</v>
      </c>
      <c r="D437" s="9" t="s">
        <v>15</v>
      </c>
      <c r="E437" s="9" t="s">
        <v>41</v>
      </c>
      <c r="F437" s="9" t="s">
        <v>35</v>
      </c>
      <c r="G437" s="9" t="s">
        <v>73</v>
      </c>
      <c r="H437" s="5">
        <v>32</v>
      </c>
      <c r="I437" s="6">
        <v>41353</v>
      </c>
      <c r="J437" s="7">
        <v>79921</v>
      </c>
      <c r="K437" s="9" t="s">
        <v>19</v>
      </c>
      <c r="L437" s="9" t="s">
        <v>51</v>
      </c>
      <c r="M437">
        <f t="shared" ca="1" si="12"/>
        <v>12</v>
      </c>
      <c r="N437">
        <f t="shared" ca="1" si="13"/>
        <v>8</v>
      </c>
    </row>
    <row r="438" spans="1:14" x14ac:dyDescent="0.3">
      <c r="A438" s="5" t="s">
        <v>1813</v>
      </c>
      <c r="B438" s="9" t="s">
        <v>1814</v>
      </c>
      <c r="C438" s="9" t="s">
        <v>181</v>
      </c>
      <c r="D438" s="9" t="s">
        <v>79</v>
      </c>
      <c r="E438" s="9" t="s">
        <v>16</v>
      </c>
      <c r="F438" s="9" t="s">
        <v>17</v>
      </c>
      <c r="G438" s="9" t="s">
        <v>73</v>
      </c>
      <c r="H438" s="5">
        <v>29</v>
      </c>
      <c r="I438" s="6">
        <v>43239</v>
      </c>
      <c r="J438" s="7">
        <v>65334</v>
      </c>
      <c r="K438" s="9" t="s">
        <v>1717</v>
      </c>
      <c r="L438" s="9" t="s">
        <v>1721</v>
      </c>
      <c r="M438">
        <f t="shared" ca="1" si="12"/>
        <v>7</v>
      </c>
      <c r="N438">
        <f t="shared" ca="1" si="13"/>
        <v>4</v>
      </c>
    </row>
    <row r="439" spans="1:14" x14ac:dyDescent="0.3">
      <c r="A439" s="5" t="s">
        <v>641</v>
      </c>
      <c r="B439" s="9" t="s">
        <v>642</v>
      </c>
      <c r="C439" s="9" t="s">
        <v>191</v>
      </c>
      <c r="D439" s="9" t="s">
        <v>60</v>
      </c>
      <c r="E439" s="9" t="s">
        <v>31</v>
      </c>
      <c r="F439" s="9" t="s">
        <v>35</v>
      </c>
      <c r="G439" s="9" t="s">
        <v>26</v>
      </c>
      <c r="H439" s="5">
        <v>57</v>
      </c>
      <c r="I439" s="6">
        <v>43299</v>
      </c>
      <c r="J439" s="7">
        <v>71167</v>
      </c>
      <c r="K439" s="9" t="s">
        <v>19</v>
      </c>
      <c r="L439" s="9" t="s">
        <v>76</v>
      </c>
      <c r="M439">
        <f t="shared" ca="1" si="12"/>
        <v>7</v>
      </c>
      <c r="N439">
        <f t="shared" ca="1" si="13"/>
        <v>4</v>
      </c>
    </row>
    <row r="440" spans="1:14" x14ac:dyDescent="0.3">
      <c r="A440" s="5" t="s">
        <v>1707</v>
      </c>
      <c r="B440" s="9" t="s">
        <v>1708</v>
      </c>
      <c r="C440" s="9" t="s">
        <v>23</v>
      </c>
      <c r="D440" s="9" t="s">
        <v>79</v>
      </c>
      <c r="E440" s="9" t="s">
        <v>41</v>
      </c>
      <c r="F440" s="9" t="s">
        <v>17</v>
      </c>
      <c r="G440" s="9" t="s">
        <v>36</v>
      </c>
      <c r="H440" s="5">
        <v>25</v>
      </c>
      <c r="I440" s="6">
        <v>44549</v>
      </c>
      <c r="J440" s="7">
        <v>150666</v>
      </c>
      <c r="K440" s="9" t="s">
        <v>1310</v>
      </c>
      <c r="L440" s="9" t="s">
        <v>1330</v>
      </c>
      <c r="M440">
        <f t="shared" ca="1" si="12"/>
        <v>3</v>
      </c>
      <c r="N440">
        <f t="shared" ca="1" si="13"/>
        <v>3</v>
      </c>
    </row>
    <row r="441" spans="1:14" x14ac:dyDescent="0.3">
      <c r="A441" s="5" t="s">
        <v>1902</v>
      </c>
      <c r="B441" s="9" t="s">
        <v>1903</v>
      </c>
      <c r="C441" s="9" t="s">
        <v>451</v>
      </c>
      <c r="D441" s="9" t="s">
        <v>15</v>
      </c>
      <c r="E441" s="9" t="s">
        <v>25</v>
      </c>
      <c r="F441" s="9" t="s">
        <v>17</v>
      </c>
      <c r="G441" s="9" t="s">
        <v>73</v>
      </c>
      <c r="H441" s="5">
        <v>43</v>
      </c>
      <c r="I441" s="6">
        <v>40290</v>
      </c>
      <c r="J441" s="7">
        <v>76912</v>
      </c>
      <c r="K441" s="9" t="s">
        <v>1717</v>
      </c>
      <c r="L441" s="9" t="s">
        <v>1736</v>
      </c>
      <c r="M441">
        <f t="shared" ca="1" si="12"/>
        <v>15</v>
      </c>
      <c r="N441">
        <f t="shared" ca="1" si="13"/>
        <v>8</v>
      </c>
    </row>
    <row r="442" spans="1:14" x14ac:dyDescent="0.3">
      <c r="A442" s="5" t="s">
        <v>1957</v>
      </c>
      <c r="B442" s="9" t="s">
        <v>1958</v>
      </c>
      <c r="C442" s="9" t="s">
        <v>23</v>
      </c>
      <c r="D442" s="9" t="s">
        <v>56</v>
      </c>
      <c r="E442" s="9" t="s">
        <v>25</v>
      </c>
      <c r="F442" s="9" t="s">
        <v>17</v>
      </c>
      <c r="G442" s="9" t="s">
        <v>73</v>
      </c>
      <c r="H442" s="5">
        <v>40</v>
      </c>
      <c r="I442" s="6">
        <v>44094</v>
      </c>
      <c r="J442" s="7">
        <v>198176</v>
      </c>
      <c r="K442" s="9" t="s">
        <v>1717</v>
      </c>
      <c r="L442" s="9" t="s">
        <v>1718</v>
      </c>
      <c r="M442">
        <f t="shared" ca="1" si="12"/>
        <v>5</v>
      </c>
      <c r="N442">
        <f t="shared" ca="1" si="13"/>
        <v>3</v>
      </c>
    </row>
    <row r="443" spans="1:14" x14ac:dyDescent="0.3">
      <c r="A443" s="5" t="s">
        <v>1230</v>
      </c>
      <c r="B443" s="9" t="s">
        <v>1231</v>
      </c>
      <c r="C443" s="9" t="s">
        <v>67</v>
      </c>
      <c r="D443" s="9" t="s">
        <v>50</v>
      </c>
      <c r="E443" s="9" t="s">
        <v>25</v>
      </c>
      <c r="F443" s="9" t="s">
        <v>17</v>
      </c>
      <c r="G443" s="9" t="s">
        <v>26</v>
      </c>
      <c r="H443" s="5">
        <v>41</v>
      </c>
      <c r="I443" s="6">
        <v>41130</v>
      </c>
      <c r="J443" s="7">
        <v>245360</v>
      </c>
      <c r="K443" s="9" t="s">
        <v>19</v>
      </c>
      <c r="L443" s="9" t="s">
        <v>51</v>
      </c>
      <c r="M443">
        <f t="shared" ca="1" si="12"/>
        <v>13</v>
      </c>
      <c r="N443">
        <f t="shared" ca="1" si="13"/>
        <v>8</v>
      </c>
    </row>
    <row r="444" spans="1:14" x14ac:dyDescent="0.3">
      <c r="A444" s="5" t="s">
        <v>82</v>
      </c>
      <c r="B444" s="9" t="s">
        <v>83</v>
      </c>
      <c r="C444" s="9" t="s">
        <v>23</v>
      </c>
      <c r="D444" s="9" t="s">
        <v>56</v>
      </c>
      <c r="E444" s="9" t="s">
        <v>25</v>
      </c>
      <c r="F444" s="9" t="s">
        <v>35</v>
      </c>
      <c r="G444" s="9" t="s">
        <v>18</v>
      </c>
      <c r="H444" s="5">
        <v>41</v>
      </c>
      <c r="I444" s="6">
        <v>42111</v>
      </c>
      <c r="J444" s="7">
        <v>152239</v>
      </c>
      <c r="K444" s="9" t="s">
        <v>19</v>
      </c>
      <c r="L444" s="9" t="s">
        <v>76</v>
      </c>
      <c r="M444">
        <f t="shared" ca="1" si="12"/>
        <v>10</v>
      </c>
      <c r="N444">
        <f t="shared" ca="1" si="13"/>
        <v>5.5</v>
      </c>
    </row>
    <row r="445" spans="1:14" x14ac:dyDescent="0.3">
      <c r="A445" s="5" t="s">
        <v>1763</v>
      </c>
      <c r="B445" s="9" t="s">
        <v>1764</v>
      </c>
      <c r="C445" s="9" t="s">
        <v>577</v>
      </c>
      <c r="D445" s="9" t="s">
        <v>15</v>
      </c>
      <c r="E445" s="9" t="s">
        <v>16</v>
      </c>
      <c r="F445" s="9" t="s">
        <v>35</v>
      </c>
      <c r="G445" s="9" t="s">
        <v>73</v>
      </c>
      <c r="H445" s="5">
        <v>29</v>
      </c>
      <c r="I445" s="6">
        <v>43753</v>
      </c>
      <c r="J445" s="7">
        <v>66819</v>
      </c>
      <c r="K445" s="9" t="s">
        <v>1717</v>
      </c>
      <c r="L445" s="9" t="s">
        <v>1721</v>
      </c>
      <c r="M445">
        <f t="shared" ca="1" si="12"/>
        <v>6</v>
      </c>
      <c r="N445">
        <f t="shared" ca="1" si="13"/>
        <v>4</v>
      </c>
    </row>
    <row r="446" spans="1:14" x14ac:dyDescent="0.3">
      <c r="A446" s="5" t="s">
        <v>1153</v>
      </c>
      <c r="B446" s="9" t="s">
        <v>1154</v>
      </c>
      <c r="C446" s="9" t="s">
        <v>253</v>
      </c>
      <c r="D446" s="9" t="s">
        <v>15</v>
      </c>
      <c r="E446" s="9" t="s">
        <v>41</v>
      </c>
      <c r="F446" s="9" t="s">
        <v>35</v>
      </c>
      <c r="G446" s="9" t="s">
        <v>18</v>
      </c>
      <c r="H446" s="5">
        <v>61</v>
      </c>
      <c r="I446" s="6">
        <v>38013</v>
      </c>
      <c r="J446" s="7">
        <v>88478</v>
      </c>
      <c r="K446" s="9" t="s">
        <v>19</v>
      </c>
      <c r="L446" s="9" t="s">
        <v>51</v>
      </c>
      <c r="M446">
        <f t="shared" ca="1" si="12"/>
        <v>21</v>
      </c>
      <c r="N446">
        <f t="shared" ca="1" si="13"/>
        <v>9.5</v>
      </c>
    </row>
    <row r="447" spans="1:14" x14ac:dyDescent="0.3">
      <c r="A447" s="5" t="s">
        <v>1976</v>
      </c>
      <c r="B447" s="9" t="s">
        <v>1977</v>
      </c>
      <c r="C447" s="9" t="s">
        <v>234</v>
      </c>
      <c r="D447" s="9" t="s">
        <v>15</v>
      </c>
      <c r="E447" s="9" t="s">
        <v>25</v>
      </c>
      <c r="F447" s="9" t="s">
        <v>35</v>
      </c>
      <c r="G447" s="9" t="s">
        <v>73</v>
      </c>
      <c r="H447" s="5">
        <v>29</v>
      </c>
      <c r="I447" s="6">
        <v>42509</v>
      </c>
      <c r="J447" s="7">
        <v>52693</v>
      </c>
      <c r="K447" s="9" t="s">
        <v>1717</v>
      </c>
      <c r="L447" s="9" t="s">
        <v>1721</v>
      </c>
      <c r="M447">
        <f t="shared" ca="1" si="12"/>
        <v>9</v>
      </c>
      <c r="N447">
        <f t="shared" ca="1" si="13"/>
        <v>5.5</v>
      </c>
    </row>
    <row r="448" spans="1:14" x14ac:dyDescent="0.3">
      <c r="A448" s="5" t="s">
        <v>349</v>
      </c>
      <c r="B448" s="9" t="s">
        <v>350</v>
      </c>
      <c r="C448" s="9" t="s">
        <v>157</v>
      </c>
      <c r="D448" s="9" t="s">
        <v>15</v>
      </c>
      <c r="E448" s="9" t="s">
        <v>31</v>
      </c>
      <c r="F448" s="9" t="s">
        <v>17</v>
      </c>
      <c r="G448" s="9" t="s">
        <v>26</v>
      </c>
      <c r="H448" s="5">
        <v>36</v>
      </c>
      <c r="I448" s="6">
        <v>41789</v>
      </c>
      <c r="J448" s="7">
        <v>99080</v>
      </c>
      <c r="K448" s="9" t="s">
        <v>19</v>
      </c>
      <c r="L448" s="9" t="s">
        <v>27</v>
      </c>
      <c r="M448">
        <f t="shared" ca="1" si="12"/>
        <v>11</v>
      </c>
      <c r="N448">
        <f t="shared" ca="1" si="13"/>
        <v>5.5</v>
      </c>
    </row>
    <row r="449" spans="1:14" x14ac:dyDescent="0.3">
      <c r="A449" s="5" t="s">
        <v>1058</v>
      </c>
      <c r="B449" s="9" t="s">
        <v>1059</v>
      </c>
      <c r="C449" s="9" t="s">
        <v>184</v>
      </c>
      <c r="D449" s="9" t="s">
        <v>56</v>
      </c>
      <c r="E449" s="9" t="s">
        <v>16</v>
      </c>
      <c r="F449" s="9" t="s">
        <v>17</v>
      </c>
      <c r="G449" s="9" t="s">
        <v>73</v>
      </c>
      <c r="H449" s="5">
        <v>52</v>
      </c>
      <c r="I449" s="6">
        <v>36416</v>
      </c>
      <c r="J449" s="7">
        <v>92994</v>
      </c>
      <c r="K449" s="9" t="s">
        <v>19</v>
      </c>
      <c r="L449" s="9" t="s">
        <v>27</v>
      </c>
      <c r="M449">
        <f t="shared" ca="1" si="12"/>
        <v>26</v>
      </c>
      <c r="N449">
        <f t="shared" ca="1" si="13"/>
        <v>10</v>
      </c>
    </row>
    <row r="450" spans="1:14" x14ac:dyDescent="0.3">
      <c r="A450" s="5" t="s">
        <v>912</v>
      </c>
      <c r="B450" s="9" t="s">
        <v>913</v>
      </c>
      <c r="C450" s="9" t="s">
        <v>40</v>
      </c>
      <c r="D450" s="9" t="s">
        <v>24</v>
      </c>
      <c r="E450" s="9" t="s">
        <v>31</v>
      </c>
      <c r="F450" s="9" t="s">
        <v>17</v>
      </c>
      <c r="G450" s="9" t="s">
        <v>26</v>
      </c>
      <c r="H450" s="5">
        <v>37</v>
      </c>
      <c r="I450" s="6">
        <v>43935</v>
      </c>
      <c r="J450" s="7">
        <v>103524</v>
      </c>
      <c r="K450" s="9" t="s">
        <v>19</v>
      </c>
      <c r="L450" s="9" t="s">
        <v>37</v>
      </c>
      <c r="M450">
        <f t="shared" ca="1" si="12"/>
        <v>5</v>
      </c>
      <c r="N450">
        <f t="shared" ca="1" si="13"/>
        <v>3</v>
      </c>
    </row>
    <row r="451" spans="1:14" x14ac:dyDescent="0.3">
      <c r="A451" s="5" t="s">
        <v>1433</v>
      </c>
      <c r="B451" s="9" t="s">
        <v>1434</v>
      </c>
      <c r="C451" s="9" t="s">
        <v>44</v>
      </c>
      <c r="D451" s="9" t="s">
        <v>68</v>
      </c>
      <c r="E451" s="9" t="s">
        <v>16</v>
      </c>
      <c r="F451" s="9" t="s">
        <v>17</v>
      </c>
      <c r="G451" s="9" t="s">
        <v>36</v>
      </c>
      <c r="H451" s="5">
        <v>40</v>
      </c>
      <c r="I451" s="6">
        <v>44251</v>
      </c>
      <c r="J451" s="7">
        <v>46833</v>
      </c>
      <c r="K451" s="9" t="s">
        <v>1310</v>
      </c>
      <c r="L451" s="9" t="s">
        <v>1330</v>
      </c>
      <c r="M451">
        <f t="shared" ref="M451:M514" ca="1" si="14">DATEDIF(I451,TODAY(),"Y")</f>
        <v>4</v>
      </c>
      <c r="N451">
        <f t="shared" ref="N451:N514" ca="1" si="15">_xlfn.XLOOKUP(M451,$Q$3:$Q$11,$R$3:$R$11,0,-1)</f>
        <v>3</v>
      </c>
    </row>
    <row r="452" spans="1:14" x14ac:dyDescent="0.3">
      <c r="A452" s="5" t="s">
        <v>1758</v>
      </c>
      <c r="B452" s="9" t="s">
        <v>1759</v>
      </c>
      <c r="C452" s="9" t="s">
        <v>34</v>
      </c>
      <c r="D452" s="9" t="s">
        <v>79</v>
      </c>
      <c r="E452" s="9" t="s">
        <v>25</v>
      </c>
      <c r="F452" s="9" t="s">
        <v>35</v>
      </c>
      <c r="G452" s="9" t="s">
        <v>73</v>
      </c>
      <c r="H452" s="5">
        <v>61</v>
      </c>
      <c r="I452" s="6">
        <v>42858</v>
      </c>
      <c r="J452" s="7">
        <v>90855</v>
      </c>
      <c r="K452" s="9" t="s">
        <v>1717</v>
      </c>
      <c r="L452" s="9" t="s">
        <v>1736</v>
      </c>
      <c r="M452">
        <f t="shared" ca="1" si="14"/>
        <v>8</v>
      </c>
      <c r="N452">
        <f t="shared" ca="1" si="15"/>
        <v>5.5</v>
      </c>
    </row>
    <row r="453" spans="1:14" x14ac:dyDescent="0.3">
      <c r="A453" s="5" t="s">
        <v>973</v>
      </c>
      <c r="B453" s="9" t="s">
        <v>974</v>
      </c>
      <c r="C453" s="9" t="s">
        <v>96</v>
      </c>
      <c r="D453" s="9" t="s">
        <v>15</v>
      </c>
      <c r="E453" s="9" t="s">
        <v>16</v>
      </c>
      <c r="F453" s="9" t="s">
        <v>17</v>
      </c>
      <c r="G453" s="9" t="s">
        <v>36</v>
      </c>
      <c r="H453" s="5">
        <v>36</v>
      </c>
      <c r="I453" s="6">
        <v>42489</v>
      </c>
      <c r="J453" s="7">
        <v>75862</v>
      </c>
      <c r="K453" s="9" t="s">
        <v>19</v>
      </c>
      <c r="L453" s="9" t="s">
        <v>51</v>
      </c>
      <c r="M453">
        <f t="shared" ca="1" si="14"/>
        <v>9</v>
      </c>
      <c r="N453">
        <f t="shared" ca="1" si="15"/>
        <v>5.5</v>
      </c>
    </row>
    <row r="454" spans="1:14" x14ac:dyDescent="0.3">
      <c r="A454" s="5" t="s">
        <v>1081</v>
      </c>
      <c r="B454" s="9" t="s">
        <v>1082</v>
      </c>
      <c r="C454" s="9" t="s">
        <v>34</v>
      </c>
      <c r="D454" s="9" t="s">
        <v>24</v>
      </c>
      <c r="E454" s="9" t="s">
        <v>31</v>
      </c>
      <c r="F454" s="9" t="s">
        <v>17</v>
      </c>
      <c r="G454" s="9" t="s">
        <v>36</v>
      </c>
      <c r="H454" s="5">
        <v>35</v>
      </c>
      <c r="I454" s="6">
        <v>43542</v>
      </c>
      <c r="J454" s="7">
        <v>74779</v>
      </c>
      <c r="K454" s="9" t="s">
        <v>19</v>
      </c>
      <c r="L454" s="9" t="s">
        <v>37</v>
      </c>
      <c r="M454">
        <f t="shared" ca="1" si="14"/>
        <v>6</v>
      </c>
      <c r="N454">
        <f t="shared" ca="1" si="15"/>
        <v>4</v>
      </c>
    </row>
    <row r="455" spans="1:14" x14ac:dyDescent="0.3">
      <c r="A455" s="5" t="s">
        <v>1169</v>
      </c>
      <c r="B455" s="9" t="s">
        <v>1170</v>
      </c>
      <c r="C455" s="9" t="s">
        <v>324</v>
      </c>
      <c r="D455" s="9" t="s">
        <v>15</v>
      </c>
      <c r="E455" s="9" t="s">
        <v>31</v>
      </c>
      <c r="F455" s="9" t="s">
        <v>17</v>
      </c>
      <c r="G455" s="9" t="s">
        <v>26</v>
      </c>
      <c r="H455" s="5">
        <v>36</v>
      </c>
      <c r="I455" s="6">
        <v>40413</v>
      </c>
      <c r="J455" s="7">
        <v>61310</v>
      </c>
      <c r="K455" s="9" t="s">
        <v>19</v>
      </c>
      <c r="L455" s="9" t="s">
        <v>37</v>
      </c>
      <c r="M455">
        <f t="shared" ca="1" si="14"/>
        <v>15</v>
      </c>
      <c r="N455">
        <f t="shared" ca="1" si="15"/>
        <v>8</v>
      </c>
    </row>
    <row r="456" spans="1:14" x14ac:dyDescent="0.3">
      <c r="A456" s="5" t="s">
        <v>1027</v>
      </c>
      <c r="B456" s="9" t="s">
        <v>1028</v>
      </c>
      <c r="C456" s="9" t="s">
        <v>130</v>
      </c>
      <c r="D456" s="9" t="s">
        <v>60</v>
      </c>
      <c r="E456" s="9" t="s">
        <v>41</v>
      </c>
      <c r="F456" s="9" t="s">
        <v>17</v>
      </c>
      <c r="G456" s="9" t="s">
        <v>26</v>
      </c>
      <c r="H456" s="5">
        <v>32</v>
      </c>
      <c r="I456" s="6">
        <v>42317</v>
      </c>
      <c r="J456" s="7">
        <v>65247</v>
      </c>
      <c r="K456" s="9" t="s">
        <v>19</v>
      </c>
      <c r="L456" s="9" t="s">
        <v>37</v>
      </c>
      <c r="M456">
        <f t="shared" ca="1" si="14"/>
        <v>10</v>
      </c>
      <c r="N456">
        <f t="shared" ca="1" si="15"/>
        <v>5.5</v>
      </c>
    </row>
    <row r="457" spans="1:14" x14ac:dyDescent="0.3">
      <c r="A457" s="5" t="s">
        <v>1384</v>
      </c>
      <c r="B457" s="9" t="s">
        <v>1385</v>
      </c>
      <c r="C457" s="9" t="s">
        <v>253</v>
      </c>
      <c r="D457" s="9" t="s">
        <v>15</v>
      </c>
      <c r="E457" s="9" t="s">
        <v>31</v>
      </c>
      <c r="F457" s="9" t="s">
        <v>35</v>
      </c>
      <c r="G457" s="9" t="s">
        <v>36</v>
      </c>
      <c r="H457" s="5">
        <v>33</v>
      </c>
      <c r="I457" s="6">
        <v>44036</v>
      </c>
      <c r="J457" s="7">
        <v>69453</v>
      </c>
      <c r="K457" s="9" t="s">
        <v>1310</v>
      </c>
      <c r="L457" s="9" t="s">
        <v>1330</v>
      </c>
      <c r="M457">
        <f t="shared" ca="1" si="14"/>
        <v>5</v>
      </c>
      <c r="N457">
        <f t="shared" ca="1" si="15"/>
        <v>3</v>
      </c>
    </row>
    <row r="458" spans="1:14" x14ac:dyDescent="0.3">
      <c r="A458" s="5" t="s">
        <v>1825</v>
      </c>
      <c r="B458" s="9" t="s">
        <v>1826</v>
      </c>
      <c r="C458" s="9" t="s">
        <v>130</v>
      </c>
      <c r="D458" s="9" t="s">
        <v>60</v>
      </c>
      <c r="E458" s="9" t="s">
        <v>25</v>
      </c>
      <c r="F458" s="9" t="s">
        <v>17</v>
      </c>
      <c r="G458" s="9" t="s">
        <v>73</v>
      </c>
      <c r="H458" s="5">
        <v>36</v>
      </c>
      <c r="I458" s="6">
        <v>42443</v>
      </c>
      <c r="J458" s="7">
        <v>85870</v>
      </c>
      <c r="K458" s="9" t="s">
        <v>1717</v>
      </c>
      <c r="L458" s="9" t="s">
        <v>1736</v>
      </c>
      <c r="M458">
        <f t="shared" ca="1" si="14"/>
        <v>9</v>
      </c>
      <c r="N458">
        <f t="shared" ca="1" si="15"/>
        <v>5.5</v>
      </c>
    </row>
    <row r="459" spans="1:14" x14ac:dyDescent="0.3">
      <c r="A459" s="5" t="s">
        <v>379</v>
      </c>
      <c r="B459" s="9" t="s">
        <v>380</v>
      </c>
      <c r="C459" s="9" t="s">
        <v>23</v>
      </c>
      <c r="D459" s="9" t="s">
        <v>79</v>
      </c>
      <c r="E459" s="9" t="s">
        <v>16</v>
      </c>
      <c r="F459" s="9" t="s">
        <v>17</v>
      </c>
      <c r="G459" s="9" t="s">
        <v>36</v>
      </c>
      <c r="H459" s="5">
        <v>45</v>
      </c>
      <c r="I459" s="6">
        <v>37316</v>
      </c>
      <c r="J459" s="7">
        <v>165181</v>
      </c>
      <c r="K459" s="9" t="s">
        <v>19</v>
      </c>
      <c r="L459" s="9" t="s">
        <v>20</v>
      </c>
      <c r="M459">
        <f t="shared" ca="1" si="14"/>
        <v>23</v>
      </c>
      <c r="N459">
        <f t="shared" ca="1" si="15"/>
        <v>9.5</v>
      </c>
    </row>
    <row r="460" spans="1:14" x14ac:dyDescent="0.3">
      <c r="A460" s="5" t="s">
        <v>602</v>
      </c>
      <c r="B460" s="9" t="s">
        <v>603</v>
      </c>
      <c r="C460" s="9" t="s">
        <v>44</v>
      </c>
      <c r="D460" s="9" t="s">
        <v>79</v>
      </c>
      <c r="E460" s="9" t="s">
        <v>41</v>
      </c>
      <c r="F460" s="9" t="s">
        <v>35</v>
      </c>
      <c r="G460" s="9" t="s">
        <v>26</v>
      </c>
      <c r="H460" s="5">
        <v>47</v>
      </c>
      <c r="I460" s="6">
        <v>41333</v>
      </c>
      <c r="J460" s="7">
        <v>54635</v>
      </c>
      <c r="K460" s="9" t="s">
        <v>19</v>
      </c>
      <c r="L460" s="9" t="s">
        <v>27</v>
      </c>
      <c r="M460">
        <f t="shared" ca="1" si="14"/>
        <v>12</v>
      </c>
      <c r="N460">
        <f t="shared" ca="1" si="15"/>
        <v>8</v>
      </c>
    </row>
    <row r="461" spans="1:14" x14ac:dyDescent="0.3">
      <c r="A461" s="5" t="s">
        <v>977</v>
      </c>
      <c r="B461" s="9" t="s">
        <v>978</v>
      </c>
      <c r="C461" s="9" t="s">
        <v>142</v>
      </c>
      <c r="D461" s="9" t="s">
        <v>60</v>
      </c>
      <c r="E461" s="9" t="s">
        <v>41</v>
      </c>
      <c r="F461" s="9" t="s">
        <v>17</v>
      </c>
      <c r="G461" s="9" t="s">
        <v>36</v>
      </c>
      <c r="H461" s="5">
        <v>32</v>
      </c>
      <c r="I461" s="6">
        <v>41977</v>
      </c>
      <c r="J461" s="7">
        <v>99202</v>
      </c>
      <c r="K461" s="9" t="s">
        <v>19</v>
      </c>
      <c r="L461" s="9" t="s">
        <v>37</v>
      </c>
      <c r="M461">
        <f t="shared" ca="1" si="14"/>
        <v>10</v>
      </c>
      <c r="N461">
        <f t="shared" ca="1" si="15"/>
        <v>5.5</v>
      </c>
    </row>
    <row r="462" spans="1:14" x14ac:dyDescent="0.3">
      <c r="A462" s="5" t="s">
        <v>1023</v>
      </c>
      <c r="B462" s="9" t="s">
        <v>1024</v>
      </c>
      <c r="C462" s="9" t="s">
        <v>23</v>
      </c>
      <c r="D462" s="9" t="s">
        <v>50</v>
      </c>
      <c r="E462" s="9" t="s">
        <v>16</v>
      </c>
      <c r="F462" s="9" t="s">
        <v>17</v>
      </c>
      <c r="G462" s="9" t="s">
        <v>26</v>
      </c>
      <c r="H462" s="5">
        <v>42</v>
      </c>
      <c r="I462" s="6">
        <v>39968</v>
      </c>
      <c r="J462" s="7">
        <v>174099</v>
      </c>
      <c r="K462" s="9" t="s">
        <v>19</v>
      </c>
      <c r="L462" s="9" t="s">
        <v>51</v>
      </c>
      <c r="M462">
        <f t="shared" ca="1" si="14"/>
        <v>16</v>
      </c>
      <c r="N462">
        <f t="shared" ca="1" si="15"/>
        <v>8</v>
      </c>
    </row>
    <row r="463" spans="1:14" x14ac:dyDescent="0.3">
      <c r="A463" s="5" t="s">
        <v>1278</v>
      </c>
      <c r="B463" s="9" t="s">
        <v>1279</v>
      </c>
      <c r="C463" s="9" t="s">
        <v>67</v>
      </c>
      <c r="D463" s="9" t="s">
        <v>56</v>
      </c>
      <c r="E463" s="9" t="s">
        <v>41</v>
      </c>
      <c r="F463" s="9" t="s">
        <v>35</v>
      </c>
      <c r="G463" s="9" t="s">
        <v>18</v>
      </c>
      <c r="H463" s="5">
        <v>45</v>
      </c>
      <c r="I463" s="6">
        <v>40524</v>
      </c>
      <c r="J463" s="7">
        <v>190512</v>
      </c>
      <c r="K463" s="9" t="s">
        <v>19</v>
      </c>
      <c r="L463" s="9" t="s">
        <v>76</v>
      </c>
      <c r="M463">
        <f t="shared" ca="1" si="14"/>
        <v>14</v>
      </c>
      <c r="N463">
        <f t="shared" ca="1" si="15"/>
        <v>8</v>
      </c>
    </row>
    <row r="464" spans="1:14" x14ac:dyDescent="0.3">
      <c r="A464" s="5" t="s">
        <v>1535</v>
      </c>
      <c r="B464" s="9" t="s">
        <v>1536</v>
      </c>
      <c r="C464" s="9" t="s">
        <v>253</v>
      </c>
      <c r="D464" s="9" t="s">
        <v>15</v>
      </c>
      <c r="E464" s="9" t="s">
        <v>31</v>
      </c>
      <c r="F464" s="9" t="s">
        <v>35</v>
      </c>
      <c r="G464" s="9" t="s">
        <v>36</v>
      </c>
      <c r="H464" s="5">
        <v>50</v>
      </c>
      <c r="I464" s="6">
        <v>36956</v>
      </c>
      <c r="J464" s="7">
        <v>73907</v>
      </c>
      <c r="K464" s="9" t="s">
        <v>1310</v>
      </c>
      <c r="L464" s="9" t="s">
        <v>1316</v>
      </c>
      <c r="M464">
        <f t="shared" ca="1" si="14"/>
        <v>24</v>
      </c>
      <c r="N464">
        <f t="shared" ca="1" si="15"/>
        <v>9.5</v>
      </c>
    </row>
    <row r="465" spans="1:14" x14ac:dyDescent="0.3">
      <c r="A465" s="5" t="s">
        <v>222</v>
      </c>
      <c r="B465" s="9" t="s">
        <v>223</v>
      </c>
      <c r="C465" s="9" t="s">
        <v>96</v>
      </c>
      <c r="D465" s="9" t="s">
        <v>15</v>
      </c>
      <c r="E465" s="9" t="s">
        <v>31</v>
      </c>
      <c r="F465" s="9" t="s">
        <v>17</v>
      </c>
      <c r="G465" s="9" t="s">
        <v>36</v>
      </c>
      <c r="H465" s="5">
        <v>55</v>
      </c>
      <c r="I465" s="6">
        <v>38573</v>
      </c>
      <c r="J465" s="7">
        <v>92771</v>
      </c>
      <c r="K465" s="9" t="s">
        <v>19</v>
      </c>
      <c r="L465" s="9" t="s">
        <v>45</v>
      </c>
      <c r="M465">
        <f t="shared" ca="1" si="14"/>
        <v>20</v>
      </c>
      <c r="N465">
        <f t="shared" ca="1" si="15"/>
        <v>9.5</v>
      </c>
    </row>
    <row r="466" spans="1:14" x14ac:dyDescent="0.3">
      <c r="A466" s="5" t="s">
        <v>305</v>
      </c>
      <c r="B466" s="9" t="s">
        <v>306</v>
      </c>
      <c r="C466" s="9" t="s">
        <v>307</v>
      </c>
      <c r="D466" s="9" t="s">
        <v>15</v>
      </c>
      <c r="E466" s="9" t="s">
        <v>31</v>
      </c>
      <c r="F466" s="9" t="s">
        <v>35</v>
      </c>
      <c r="G466" s="9" t="s">
        <v>18</v>
      </c>
      <c r="H466" s="5">
        <v>54</v>
      </c>
      <c r="I466" s="6">
        <v>40540</v>
      </c>
      <c r="J466" s="7">
        <v>64417</v>
      </c>
      <c r="K466" s="9" t="s">
        <v>19</v>
      </c>
      <c r="L466" s="9" t="s">
        <v>76</v>
      </c>
      <c r="M466">
        <f t="shared" ca="1" si="14"/>
        <v>14</v>
      </c>
      <c r="N466">
        <f t="shared" ca="1" si="15"/>
        <v>8</v>
      </c>
    </row>
    <row r="467" spans="1:14" x14ac:dyDescent="0.3">
      <c r="A467" s="5" t="s">
        <v>1515</v>
      </c>
      <c r="B467" s="9" t="s">
        <v>1516</v>
      </c>
      <c r="C467" s="9" t="s">
        <v>44</v>
      </c>
      <c r="D467" s="9" t="s">
        <v>50</v>
      </c>
      <c r="E467" s="9" t="s">
        <v>41</v>
      </c>
      <c r="F467" s="9" t="s">
        <v>17</v>
      </c>
      <c r="G467" s="9" t="s">
        <v>36</v>
      </c>
      <c r="H467" s="5">
        <v>27</v>
      </c>
      <c r="I467" s="6">
        <v>43701</v>
      </c>
      <c r="J467" s="7">
        <v>50809</v>
      </c>
      <c r="K467" s="9" t="s">
        <v>1310</v>
      </c>
      <c r="L467" s="9" t="s">
        <v>1311</v>
      </c>
      <c r="M467">
        <f t="shared" ca="1" si="14"/>
        <v>6</v>
      </c>
      <c r="N467">
        <f t="shared" ca="1" si="15"/>
        <v>4</v>
      </c>
    </row>
    <row r="468" spans="1:14" x14ac:dyDescent="0.3">
      <c r="A468" s="5" t="s">
        <v>1690</v>
      </c>
      <c r="B468" s="9" t="s">
        <v>1691</v>
      </c>
      <c r="C468" s="9" t="s">
        <v>14</v>
      </c>
      <c r="D468" s="9" t="s">
        <v>56</v>
      </c>
      <c r="E468" s="9" t="s">
        <v>25</v>
      </c>
      <c r="F468" s="9" t="s">
        <v>17</v>
      </c>
      <c r="G468" s="9" t="s">
        <v>36</v>
      </c>
      <c r="H468" s="5">
        <v>36</v>
      </c>
      <c r="I468" s="6">
        <v>40248</v>
      </c>
      <c r="J468" s="7">
        <v>134006</v>
      </c>
      <c r="K468" s="9" t="s">
        <v>1310</v>
      </c>
      <c r="L468" s="9" t="s">
        <v>1323</v>
      </c>
      <c r="M468">
        <f t="shared" ca="1" si="14"/>
        <v>15</v>
      </c>
      <c r="N468">
        <f t="shared" ca="1" si="15"/>
        <v>8</v>
      </c>
    </row>
    <row r="469" spans="1:14" x14ac:dyDescent="0.3">
      <c r="A469" s="5" t="s">
        <v>1025</v>
      </c>
      <c r="B469" s="9" t="s">
        <v>1026</v>
      </c>
      <c r="C469" s="9" t="s">
        <v>14</v>
      </c>
      <c r="D469" s="9" t="s">
        <v>24</v>
      </c>
      <c r="E469" s="9" t="s">
        <v>31</v>
      </c>
      <c r="F469" s="9" t="s">
        <v>35</v>
      </c>
      <c r="G469" s="9" t="s">
        <v>36</v>
      </c>
      <c r="H469" s="5">
        <v>63</v>
      </c>
      <c r="I469" s="6">
        <v>37295</v>
      </c>
      <c r="J469" s="7">
        <v>128703</v>
      </c>
      <c r="K469" s="9" t="s">
        <v>19</v>
      </c>
      <c r="L469" s="9" t="s">
        <v>51</v>
      </c>
      <c r="M469">
        <f t="shared" ca="1" si="14"/>
        <v>23</v>
      </c>
      <c r="N469">
        <f t="shared" ca="1" si="15"/>
        <v>9.5</v>
      </c>
    </row>
    <row r="470" spans="1:14" x14ac:dyDescent="0.3">
      <c r="A470" s="5" t="s">
        <v>411</v>
      </c>
      <c r="B470" s="9" t="s">
        <v>412</v>
      </c>
      <c r="C470" s="9" t="s">
        <v>130</v>
      </c>
      <c r="D470" s="9" t="s">
        <v>60</v>
      </c>
      <c r="E470" s="9" t="s">
        <v>16</v>
      </c>
      <c r="F470" s="9" t="s">
        <v>17</v>
      </c>
      <c r="G470" s="9" t="s">
        <v>26</v>
      </c>
      <c r="H470" s="5">
        <v>58</v>
      </c>
      <c r="I470" s="6">
        <v>34999</v>
      </c>
      <c r="J470" s="7">
        <v>70189</v>
      </c>
      <c r="K470" s="9" t="s">
        <v>19</v>
      </c>
      <c r="L470" s="9" t="s">
        <v>76</v>
      </c>
      <c r="M470">
        <f t="shared" ca="1" si="14"/>
        <v>30</v>
      </c>
      <c r="N470">
        <f t="shared" ca="1" si="15"/>
        <v>15</v>
      </c>
    </row>
    <row r="471" spans="1:14" x14ac:dyDescent="0.3">
      <c r="A471" s="5" t="s">
        <v>12</v>
      </c>
      <c r="B471" s="9" t="s">
        <v>13</v>
      </c>
      <c r="C471" s="9" t="s">
        <v>14</v>
      </c>
      <c r="D471" s="9" t="s">
        <v>15</v>
      </c>
      <c r="E471" s="9" t="s">
        <v>16</v>
      </c>
      <c r="F471" s="9" t="s">
        <v>17</v>
      </c>
      <c r="G471" s="9" t="s">
        <v>18</v>
      </c>
      <c r="H471" s="5">
        <v>55</v>
      </c>
      <c r="I471" s="6">
        <v>42468</v>
      </c>
      <c r="J471" s="7">
        <v>141604</v>
      </c>
      <c r="K471" s="9" t="s">
        <v>19</v>
      </c>
      <c r="L471" s="9" t="s">
        <v>20</v>
      </c>
      <c r="M471">
        <f t="shared" ca="1" si="14"/>
        <v>9</v>
      </c>
      <c r="N471">
        <f t="shared" ca="1" si="15"/>
        <v>5.5</v>
      </c>
    </row>
    <row r="472" spans="1:14" x14ac:dyDescent="0.3">
      <c r="A472" s="5" t="s">
        <v>1094</v>
      </c>
      <c r="B472" s="9" t="s">
        <v>1095</v>
      </c>
      <c r="C472" s="9" t="s">
        <v>14</v>
      </c>
      <c r="D472" s="9" t="s">
        <v>79</v>
      </c>
      <c r="E472" s="9" t="s">
        <v>31</v>
      </c>
      <c r="F472" s="9" t="s">
        <v>17</v>
      </c>
      <c r="G472" s="9" t="s">
        <v>73</v>
      </c>
      <c r="H472" s="5">
        <v>49</v>
      </c>
      <c r="I472" s="6">
        <v>35157</v>
      </c>
      <c r="J472" s="7">
        <v>157057</v>
      </c>
      <c r="K472" s="9" t="s">
        <v>19</v>
      </c>
      <c r="L472" s="9" t="s">
        <v>45</v>
      </c>
      <c r="M472">
        <f t="shared" ca="1" si="14"/>
        <v>29</v>
      </c>
      <c r="N472">
        <f t="shared" ca="1" si="15"/>
        <v>10</v>
      </c>
    </row>
    <row r="473" spans="1:14" x14ac:dyDescent="0.3">
      <c r="A473" s="5" t="s">
        <v>1094</v>
      </c>
      <c r="B473" s="9" t="s">
        <v>1909</v>
      </c>
      <c r="C473" s="9" t="s">
        <v>67</v>
      </c>
      <c r="D473" s="9" t="s">
        <v>56</v>
      </c>
      <c r="E473" s="9" t="s">
        <v>25</v>
      </c>
      <c r="F473" s="9" t="s">
        <v>17</v>
      </c>
      <c r="G473" s="9" t="s">
        <v>73</v>
      </c>
      <c r="H473" s="5">
        <v>45</v>
      </c>
      <c r="I473" s="6">
        <v>43521</v>
      </c>
      <c r="J473" s="7">
        <v>249801</v>
      </c>
      <c r="K473" s="9" t="s">
        <v>1717</v>
      </c>
      <c r="L473" s="9" t="s">
        <v>1736</v>
      </c>
      <c r="M473">
        <f t="shared" ca="1" si="14"/>
        <v>6</v>
      </c>
      <c r="N473">
        <f t="shared" ca="1" si="15"/>
        <v>4</v>
      </c>
    </row>
    <row r="474" spans="1:14" x14ac:dyDescent="0.3">
      <c r="A474" s="5" t="s">
        <v>894</v>
      </c>
      <c r="B474" s="9" t="s">
        <v>895</v>
      </c>
      <c r="C474" s="9" t="s">
        <v>34</v>
      </c>
      <c r="D474" s="9" t="s">
        <v>79</v>
      </c>
      <c r="E474" s="9" t="s">
        <v>41</v>
      </c>
      <c r="F474" s="9" t="s">
        <v>17</v>
      </c>
      <c r="G474" s="9" t="s">
        <v>73</v>
      </c>
      <c r="H474" s="5">
        <v>52</v>
      </c>
      <c r="I474" s="6">
        <v>34623</v>
      </c>
      <c r="J474" s="7">
        <v>93103</v>
      </c>
      <c r="K474" s="9" t="s">
        <v>19</v>
      </c>
      <c r="L474" s="9" t="s">
        <v>37</v>
      </c>
      <c r="M474">
        <f t="shared" ca="1" si="14"/>
        <v>31</v>
      </c>
      <c r="N474">
        <f t="shared" ca="1" si="15"/>
        <v>15</v>
      </c>
    </row>
    <row r="475" spans="1:14" x14ac:dyDescent="0.3">
      <c r="A475" s="5" t="s">
        <v>569</v>
      </c>
      <c r="B475" s="9" t="s">
        <v>570</v>
      </c>
      <c r="C475" s="9" t="s">
        <v>133</v>
      </c>
      <c r="D475" s="9" t="s">
        <v>60</v>
      </c>
      <c r="E475" s="9" t="s">
        <v>16</v>
      </c>
      <c r="F475" s="9" t="s">
        <v>17</v>
      </c>
      <c r="G475" s="9" t="s">
        <v>26</v>
      </c>
      <c r="H475" s="5">
        <v>46</v>
      </c>
      <c r="I475" s="6">
        <v>39471</v>
      </c>
      <c r="J475" s="7">
        <v>91621</v>
      </c>
      <c r="K475" s="9" t="s">
        <v>19</v>
      </c>
      <c r="L475" s="9" t="s">
        <v>27</v>
      </c>
      <c r="M475">
        <f t="shared" ca="1" si="14"/>
        <v>17</v>
      </c>
      <c r="N475">
        <f t="shared" ca="1" si="15"/>
        <v>8</v>
      </c>
    </row>
    <row r="476" spans="1:14" x14ac:dyDescent="0.3">
      <c r="A476" s="5" t="s">
        <v>1584</v>
      </c>
      <c r="B476" s="9" t="s">
        <v>1585</v>
      </c>
      <c r="C476" s="9" t="s">
        <v>23</v>
      </c>
      <c r="D476" s="9" t="s">
        <v>68</v>
      </c>
      <c r="E476" s="9" t="s">
        <v>31</v>
      </c>
      <c r="F476" s="9" t="s">
        <v>17</v>
      </c>
      <c r="G476" s="9" t="s">
        <v>36</v>
      </c>
      <c r="H476" s="5">
        <v>35</v>
      </c>
      <c r="I476" s="6">
        <v>42800</v>
      </c>
      <c r="J476" s="7">
        <v>171426</v>
      </c>
      <c r="K476" s="9" t="s">
        <v>1310</v>
      </c>
      <c r="L476" s="9" t="s">
        <v>1323</v>
      </c>
      <c r="M476">
        <f t="shared" ca="1" si="14"/>
        <v>8</v>
      </c>
      <c r="N476">
        <f t="shared" ca="1" si="15"/>
        <v>5.5</v>
      </c>
    </row>
    <row r="477" spans="1:14" x14ac:dyDescent="0.3">
      <c r="A477" s="5" t="s">
        <v>320</v>
      </c>
      <c r="B477" s="9" t="s">
        <v>321</v>
      </c>
      <c r="C477" s="9" t="s">
        <v>23</v>
      </c>
      <c r="D477" s="9" t="s">
        <v>60</v>
      </c>
      <c r="E477" s="9" t="s">
        <v>25</v>
      </c>
      <c r="F477" s="9" t="s">
        <v>35</v>
      </c>
      <c r="G477" s="9" t="s">
        <v>36</v>
      </c>
      <c r="H477" s="5">
        <v>45</v>
      </c>
      <c r="I477" s="6">
        <v>41879</v>
      </c>
      <c r="J477" s="7">
        <v>183161</v>
      </c>
      <c r="K477" s="9" t="s">
        <v>19</v>
      </c>
      <c r="L477" s="9" t="s">
        <v>45</v>
      </c>
      <c r="M477">
        <f t="shared" ca="1" si="14"/>
        <v>11</v>
      </c>
      <c r="N477">
        <f t="shared" ca="1" si="15"/>
        <v>5.5</v>
      </c>
    </row>
    <row r="478" spans="1:14" x14ac:dyDescent="0.3">
      <c r="A478" s="5" t="s">
        <v>1016</v>
      </c>
      <c r="B478" s="9" t="s">
        <v>1017</v>
      </c>
      <c r="C478" s="9" t="s">
        <v>40</v>
      </c>
      <c r="D478" s="9" t="s">
        <v>79</v>
      </c>
      <c r="E478" s="9" t="s">
        <v>41</v>
      </c>
      <c r="F478" s="9" t="s">
        <v>17</v>
      </c>
      <c r="G478" s="9" t="s">
        <v>36</v>
      </c>
      <c r="H478" s="5">
        <v>27</v>
      </c>
      <c r="I478" s="6">
        <v>43358</v>
      </c>
      <c r="J478" s="7">
        <v>127616</v>
      </c>
      <c r="K478" s="9" t="s">
        <v>19</v>
      </c>
      <c r="L478" s="9" t="s">
        <v>76</v>
      </c>
      <c r="M478">
        <f t="shared" ca="1" si="14"/>
        <v>7</v>
      </c>
      <c r="N478">
        <f t="shared" ca="1" si="15"/>
        <v>4</v>
      </c>
    </row>
    <row r="479" spans="1:14" x14ac:dyDescent="0.3">
      <c r="A479" s="5" t="s">
        <v>1648</v>
      </c>
      <c r="B479" s="9" t="s">
        <v>1649</v>
      </c>
      <c r="C479" s="9" t="s">
        <v>30</v>
      </c>
      <c r="D479" s="9" t="s">
        <v>15</v>
      </c>
      <c r="E479" s="9" t="s">
        <v>25</v>
      </c>
      <c r="F479" s="9" t="s">
        <v>35</v>
      </c>
      <c r="G479" s="9" t="s">
        <v>36</v>
      </c>
      <c r="H479" s="5">
        <v>35</v>
      </c>
      <c r="I479" s="6">
        <v>42493</v>
      </c>
      <c r="J479" s="7">
        <v>73899</v>
      </c>
      <c r="K479" s="9" t="s">
        <v>1310</v>
      </c>
      <c r="L479" s="9" t="s">
        <v>1330</v>
      </c>
      <c r="M479">
        <f t="shared" ca="1" si="14"/>
        <v>9</v>
      </c>
      <c r="N479">
        <f t="shared" ca="1" si="15"/>
        <v>5.5</v>
      </c>
    </row>
    <row r="480" spans="1:14" x14ac:dyDescent="0.3">
      <c r="A480" s="5" t="s">
        <v>979</v>
      </c>
      <c r="B480" s="9" t="s">
        <v>980</v>
      </c>
      <c r="C480" s="9" t="s">
        <v>451</v>
      </c>
      <c r="D480" s="9" t="s">
        <v>15</v>
      </c>
      <c r="E480" s="9" t="s">
        <v>41</v>
      </c>
      <c r="F480" s="9" t="s">
        <v>35</v>
      </c>
      <c r="G480" s="9" t="s">
        <v>26</v>
      </c>
      <c r="H480" s="5">
        <v>54</v>
      </c>
      <c r="I480" s="6">
        <v>33785</v>
      </c>
      <c r="J480" s="7">
        <v>63196</v>
      </c>
      <c r="K480" s="9" t="s">
        <v>19</v>
      </c>
      <c r="L480" s="9" t="s">
        <v>27</v>
      </c>
      <c r="M480">
        <f t="shared" ca="1" si="14"/>
        <v>33</v>
      </c>
      <c r="N480">
        <f t="shared" ca="1" si="15"/>
        <v>15</v>
      </c>
    </row>
    <row r="481" spans="1:14" x14ac:dyDescent="0.3">
      <c r="A481" s="5" t="s">
        <v>1682</v>
      </c>
      <c r="B481" s="9" t="s">
        <v>1683</v>
      </c>
      <c r="C481" s="9" t="s">
        <v>34</v>
      </c>
      <c r="D481" s="9" t="s">
        <v>68</v>
      </c>
      <c r="E481" s="9" t="s">
        <v>25</v>
      </c>
      <c r="F481" s="9" t="s">
        <v>35</v>
      </c>
      <c r="G481" s="9" t="s">
        <v>36</v>
      </c>
      <c r="H481" s="5">
        <v>55</v>
      </c>
      <c r="I481" s="6">
        <v>38909</v>
      </c>
      <c r="J481" s="7">
        <v>93343</v>
      </c>
      <c r="K481" s="9" t="s">
        <v>1310</v>
      </c>
      <c r="L481" s="9" t="s">
        <v>1311</v>
      </c>
      <c r="M481">
        <f t="shared" ca="1" si="14"/>
        <v>19</v>
      </c>
      <c r="N481">
        <f t="shared" ca="1" si="15"/>
        <v>9.5</v>
      </c>
    </row>
    <row r="482" spans="1:14" x14ac:dyDescent="0.3">
      <c r="A482" s="5" t="s">
        <v>1752</v>
      </c>
      <c r="B482" s="9" t="s">
        <v>1753</v>
      </c>
      <c r="C482" s="9" t="s">
        <v>67</v>
      </c>
      <c r="D482" s="9" t="s">
        <v>60</v>
      </c>
      <c r="E482" s="9" t="s">
        <v>41</v>
      </c>
      <c r="F482" s="9" t="s">
        <v>17</v>
      </c>
      <c r="G482" s="9" t="s">
        <v>73</v>
      </c>
      <c r="H482" s="5">
        <v>28</v>
      </c>
      <c r="I482" s="6">
        <v>42922</v>
      </c>
      <c r="J482" s="7">
        <v>240488</v>
      </c>
      <c r="K482" s="9" t="s">
        <v>1717</v>
      </c>
      <c r="L482" s="9" t="s">
        <v>1721</v>
      </c>
      <c r="M482">
        <f t="shared" ca="1" si="14"/>
        <v>8</v>
      </c>
      <c r="N482">
        <f t="shared" ca="1" si="15"/>
        <v>5.5</v>
      </c>
    </row>
    <row r="483" spans="1:14" x14ac:dyDescent="0.3">
      <c r="A483" s="5" t="s">
        <v>696</v>
      </c>
      <c r="B483" s="9" t="s">
        <v>697</v>
      </c>
      <c r="C483" s="9" t="s">
        <v>67</v>
      </c>
      <c r="D483" s="9" t="s">
        <v>68</v>
      </c>
      <c r="E483" s="9" t="s">
        <v>41</v>
      </c>
      <c r="F483" s="9" t="s">
        <v>17</v>
      </c>
      <c r="G483" s="9" t="s">
        <v>36</v>
      </c>
      <c r="H483" s="5">
        <v>45</v>
      </c>
      <c r="I483" s="6">
        <v>42428</v>
      </c>
      <c r="J483" s="7">
        <v>211637</v>
      </c>
      <c r="K483" s="9" t="s">
        <v>19</v>
      </c>
      <c r="L483" s="9" t="s">
        <v>27</v>
      </c>
      <c r="M483">
        <f t="shared" ca="1" si="14"/>
        <v>9</v>
      </c>
      <c r="N483">
        <f t="shared" ca="1" si="15"/>
        <v>5.5</v>
      </c>
    </row>
    <row r="484" spans="1:14" x14ac:dyDescent="0.3">
      <c r="A484" s="5" t="s">
        <v>1543</v>
      </c>
      <c r="B484" s="9" t="s">
        <v>1544</v>
      </c>
      <c r="C484" s="9" t="s">
        <v>116</v>
      </c>
      <c r="D484" s="9" t="s">
        <v>60</v>
      </c>
      <c r="E484" s="9" t="s">
        <v>25</v>
      </c>
      <c r="F484" s="9" t="s">
        <v>35</v>
      </c>
      <c r="G484" s="9" t="s">
        <v>36</v>
      </c>
      <c r="H484" s="5">
        <v>29</v>
      </c>
      <c r="I484" s="6">
        <v>44515</v>
      </c>
      <c r="J484" s="7">
        <v>91782</v>
      </c>
      <c r="K484" s="9" t="s">
        <v>1310</v>
      </c>
      <c r="L484" s="9" t="s">
        <v>1311</v>
      </c>
      <c r="M484">
        <f t="shared" ca="1" si="14"/>
        <v>4</v>
      </c>
      <c r="N484">
        <f t="shared" ca="1" si="15"/>
        <v>3</v>
      </c>
    </row>
    <row r="485" spans="1:14" x14ac:dyDescent="0.3">
      <c r="A485" s="5" t="s">
        <v>1568</v>
      </c>
      <c r="B485" s="9" t="s">
        <v>1569</v>
      </c>
      <c r="C485" s="9" t="s">
        <v>23</v>
      </c>
      <c r="D485" s="9" t="s">
        <v>60</v>
      </c>
      <c r="E485" s="9" t="s">
        <v>25</v>
      </c>
      <c r="F485" s="9" t="s">
        <v>17</v>
      </c>
      <c r="G485" s="9" t="s">
        <v>36</v>
      </c>
      <c r="H485" s="5">
        <v>46</v>
      </c>
      <c r="I485" s="6">
        <v>44125</v>
      </c>
      <c r="J485" s="7">
        <v>151853</v>
      </c>
      <c r="K485" s="9" t="s">
        <v>1310</v>
      </c>
      <c r="L485" s="9" t="s">
        <v>1330</v>
      </c>
      <c r="M485">
        <f t="shared" ca="1" si="14"/>
        <v>5</v>
      </c>
      <c r="N485">
        <f t="shared" ca="1" si="15"/>
        <v>3</v>
      </c>
    </row>
    <row r="486" spans="1:14" x14ac:dyDescent="0.3">
      <c r="A486" s="5" t="s">
        <v>808</v>
      </c>
      <c r="B486" s="9" t="s">
        <v>809</v>
      </c>
      <c r="C486" s="9" t="s">
        <v>40</v>
      </c>
      <c r="D486" s="9" t="s">
        <v>79</v>
      </c>
      <c r="E486" s="9" t="s">
        <v>25</v>
      </c>
      <c r="F486" s="9" t="s">
        <v>35</v>
      </c>
      <c r="G486" s="9" t="s">
        <v>26</v>
      </c>
      <c r="H486" s="5">
        <v>33</v>
      </c>
      <c r="I486" s="6">
        <v>41446</v>
      </c>
      <c r="J486" s="7">
        <v>119631</v>
      </c>
      <c r="K486" s="9" t="s">
        <v>19</v>
      </c>
      <c r="L486" s="9" t="s">
        <v>37</v>
      </c>
      <c r="M486">
        <f t="shared" ca="1" si="14"/>
        <v>12</v>
      </c>
      <c r="N486">
        <f t="shared" ca="1" si="15"/>
        <v>8</v>
      </c>
    </row>
    <row r="487" spans="1:14" x14ac:dyDescent="0.3">
      <c r="A487" s="5" t="s">
        <v>299</v>
      </c>
      <c r="B487" s="9" t="s">
        <v>300</v>
      </c>
      <c r="C487" s="9" t="s">
        <v>184</v>
      </c>
      <c r="D487" s="9" t="s">
        <v>56</v>
      </c>
      <c r="E487" s="9" t="s">
        <v>31</v>
      </c>
      <c r="F487" s="9" t="s">
        <v>35</v>
      </c>
      <c r="G487" s="9" t="s">
        <v>26</v>
      </c>
      <c r="H487" s="5">
        <v>33</v>
      </c>
      <c r="I487" s="6">
        <v>42951</v>
      </c>
      <c r="J487" s="7">
        <v>92610</v>
      </c>
      <c r="K487" s="9" t="s">
        <v>19</v>
      </c>
      <c r="L487" s="9" t="s">
        <v>76</v>
      </c>
      <c r="M487">
        <f t="shared" ca="1" si="14"/>
        <v>8</v>
      </c>
      <c r="N487">
        <f t="shared" ca="1" si="15"/>
        <v>5.5</v>
      </c>
    </row>
    <row r="488" spans="1:14" x14ac:dyDescent="0.3">
      <c r="A488" s="5" t="s">
        <v>1118</v>
      </c>
      <c r="B488" s="9" t="s">
        <v>1119</v>
      </c>
      <c r="C488" s="9" t="s">
        <v>40</v>
      </c>
      <c r="D488" s="9" t="s">
        <v>56</v>
      </c>
      <c r="E488" s="9" t="s">
        <v>25</v>
      </c>
      <c r="F488" s="9" t="s">
        <v>35</v>
      </c>
      <c r="G488" s="9" t="s">
        <v>73</v>
      </c>
      <c r="H488" s="5">
        <v>59</v>
      </c>
      <c r="I488" s="6">
        <v>42165</v>
      </c>
      <c r="J488" s="7">
        <v>101985</v>
      </c>
      <c r="K488" s="9" t="s">
        <v>19</v>
      </c>
      <c r="L488" s="9" t="s">
        <v>45</v>
      </c>
      <c r="M488">
        <f t="shared" ca="1" si="14"/>
        <v>10</v>
      </c>
      <c r="N488">
        <f t="shared" ca="1" si="15"/>
        <v>5.5</v>
      </c>
    </row>
    <row r="489" spans="1:14" x14ac:dyDescent="0.3">
      <c r="A489" s="5" t="s">
        <v>1118</v>
      </c>
      <c r="B489" s="9" t="s">
        <v>1581</v>
      </c>
      <c r="C489" s="9" t="s">
        <v>34</v>
      </c>
      <c r="D489" s="9" t="s">
        <v>68</v>
      </c>
      <c r="E489" s="9" t="s">
        <v>41</v>
      </c>
      <c r="F489" s="9" t="s">
        <v>35</v>
      </c>
      <c r="G489" s="9" t="s">
        <v>36</v>
      </c>
      <c r="H489" s="5">
        <v>40</v>
      </c>
      <c r="I489" s="6">
        <v>41904</v>
      </c>
      <c r="J489" s="7">
        <v>73779</v>
      </c>
      <c r="K489" s="9" t="s">
        <v>1310</v>
      </c>
      <c r="L489" s="9" t="s">
        <v>1311</v>
      </c>
      <c r="M489">
        <f t="shared" ca="1" si="14"/>
        <v>11</v>
      </c>
      <c r="N489">
        <f t="shared" ca="1" si="15"/>
        <v>5.5</v>
      </c>
    </row>
    <row r="490" spans="1:14" x14ac:dyDescent="0.3">
      <c r="A490" s="5" t="s">
        <v>1713</v>
      </c>
      <c r="B490" s="9" t="s">
        <v>1714</v>
      </c>
      <c r="C490" s="9" t="s">
        <v>34</v>
      </c>
      <c r="D490" s="9" t="s">
        <v>24</v>
      </c>
      <c r="E490" s="9" t="s">
        <v>25</v>
      </c>
      <c r="F490" s="9" t="s">
        <v>17</v>
      </c>
      <c r="G490" s="9" t="s">
        <v>36</v>
      </c>
      <c r="H490" s="5">
        <v>33</v>
      </c>
      <c r="I490" s="6">
        <v>40936</v>
      </c>
      <c r="J490" s="7">
        <v>95960</v>
      </c>
      <c r="K490" s="9" t="s">
        <v>1310</v>
      </c>
      <c r="L490" s="9" t="s">
        <v>1330</v>
      </c>
      <c r="M490">
        <f t="shared" ca="1" si="14"/>
        <v>13</v>
      </c>
      <c r="N490">
        <f t="shared" ca="1" si="15"/>
        <v>8</v>
      </c>
    </row>
    <row r="491" spans="1:14" x14ac:dyDescent="0.3">
      <c r="A491" s="5" t="s">
        <v>1180</v>
      </c>
      <c r="B491" s="9" t="s">
        <v>1181</v>
      </c>
      <c r="C491" s="9" t="s">
        <v>67</v>
      </c>
      <c r="D491" s="9" t="s">
        <v>79</v>
      </c>
      <c r="E491" s="9" t="s">
        <v>41</v>
      </c>
      <c r="F491" s="9" t="s">
        <v>35</v>
      </c>
      <c r="G491" s="9" t="s">
        <v>73</v>
      </c>
      <c r="H491" s="5">
        <v>48</v>
      </c>
      <c r="I491" s="6">
        <v>36584</v>
      </c>
      <c r="J491" s="7">
        <v>258081</v>
      </c>
      <c r="K491" s="9" t="s">
        <v>19</v>
      </c>
      <c r="L491" s="9" t="s">
        <v>27</v>
      </c>
      <c r="M491">
        <f t="shared" ca="1" si="14"/>
        <v>25</v>
      </c>
      <c r="N491">
        <f t="shared" ca="1" si="15"/>
        <v>10</v>
      </c>
    </row>
    <row r="492" spans="1:14" x14ac:dyDescent="0.3">
      <c r="A492" s="5" t="s">
        <v>694</v>
      </c>
      <c r="B492" s="9" t="s">
        <v>695</v>
      </c>
      <c r="C492" s="9" t="s">
        <v>44</v>
      </c>
      <c r="D492" s="9" t="s">
        <v>68</v>
      </c>
      <c r="E492" s="9" t="s">
        <v>31</v>
      </c>
      <c r="F492" s="9" t="s">
        <v>35</v>
      </c>
      <c r="G492" s="9" t="s">
        <v>26</v>
      </c>
      <c r="H492" s="5">
        <v>28</v>
      </c>
      <c r="I492" s="6">
        <v>44395</v>
      </c>
      <c r="J492" s="7">
        <v>43391</v>
      </c>
      <c r="K492" s="9" t="s">
        <v>19</v>
      </c>
      <c r="L492" s="9" t="s">
        <v>76</v>
      </c>
      <c r="M492">
        <f t="shared" ca="1" si="14"/>
        <v>4</v>
      </c>
      <c r="N492">
        <f t="shared" ca="1" si="15"/>
        <v>3</v>
      </c>
    </row>
    <row r="493" spans="1:14" x14ac:dyDescent="0.3">
      <c r="A493" s="5" t="s">
        <v>594</v>
      </c>
      <c r="B493" s="9" t="s">
        <v>595</v>
      </c>
      <c r="C493" s="9" t="s">
        <v>14</v>
      </c>
      <c r="D493" s="9" t="s">
        <v>50</v>
      </c>
      <c r="E493" s="9" t="s">
        <v>41</v>
      </c>
      <c r="F493" s="9" t="s">
        <v>17</v>
      </c>
      <c r="G493" s="9" t="s">
        <v>26</v>
      </c>
      <c r="H493" s="5">
        <v>55</v>
      </c>
      <c r="I493" s="6">
        <v>38135</v>
      </c>
      <c r="J493" s="7">
        <v>159885</v>
      </c>
      <c r="K493" s="9" t="s">
        <v>19</v>
      </c>
      <c r="L493" s="9" t="s">
        <v>76</v>
      </c>
      <c r="M493">
        <f t="shared" ca="1" si="14"/>
        <v>21</v>
      </c>
      <c r="N493">
        <f t="shared" ca="1" si="15"/>
        <v>9.5</v>
      </c>
    </row>
    <row r="494" spans="1:14" x14ac:dyDescent="0.3">
      <c r="A494" s="5" t="s">
        <v>594</v>
      </c>
      <c r="B494" s="9" t="s">
        <v>1565</v>
      </c>
      <c r="C494" s="9" t="s">
        <v>23</v>
      </c>
      <c r="D494" s="9" t="s">
        <v>68</v>
      </c>
      <c r="E494" s="9" t="s">
        <v>41</v>
      </c>
      <c r="F494" s="9" t="s">
        <v>17</v>
      </c>
      <c r="G494" s="9" t="s">
        <v>36</v>
      </c>
      <c r="H494" s="5">
        <v>36</v>
      </c>
      <c r="I494" s="6">
        <v>40434</v>
      </c>
      <c r="J494" s="7">
        <v>157070</v>
      </c>
      <c r="K494" s="9" t="s">
        <v>1310</v>
      </c>
      <c r="L494" s="9" t="s">
        <v>1311</v>
      </c>
      <c r="M494">
        <f t="shared" ca="1" si="14"/>
        <v>15</v>
      </c>
      <c r="N494">
        <f t="shared" ca="1" si="15"/>
        <v>8</v>
      </c>
    </row>
    <row r="495" spans="1:14" x14ac:dyDescent="0.3">
      <c r="A495" s="5" t="s">
        <v>1935</v>
      </c>
      <c r="B495" s="9" t="s">
        <v>1936</v>
      </c>
      <c r="C495" s="9" t="s">
        <v>59</v>
      </c>
      <c r="D495" s="9" t="s">
        <v>60</v>
      </c>
      <c r="E495" s="9" t="s">
        <v>41</v>
      </c>
      <c r="F495" s="9" t="s">
        <v>17</v>
      </c>
      <c r="G495" s="9" t="s">
        <v>73</v>
      </c>
      <c r="H495" s="5">
        <v>29</v>
      </c>
      <c r="I495" s="6">
        <v>43114</v>
      </c>
      <c r="J495" s="7">
        <v>80516</v>
      </c>
      <c r="K495" s="9" t="s">
        <v>1717</v>
      </c>
      <c r="L495" s="9" t="s">
        <v>1736</v>
      </c>
      <c r="M495">
        <f t="shared" ca="1" si="14"/>
        <v>7</v>
      </c>
      <c r="N495">
        <f t="shared" ca="1" si="15"/>
        <v>4</v>
      </c>
    </row>
    <row r="496" spans="1:14" x14ac:dyDescent="0.3">
      <c r="A496" s="5" t="s">
        <v>1970</v>
      </c>
      <c r="B496" s="9" t="s">
        <v>1971</v>
      </c>
      <c r="C496" s="9" t="s">
        <v>67</v>
      </c>
      <c r="D496" s="9" t="s">
        <v>56</v>
      </c>
      <c r="E496" s="9" t="s">
        <v>41</v>
      </c>
      <c r="F496" s="9" t="s">
        <v>35</v>
      </c>
      <c r="G496" s="9" t="s">
        <v>73</v>
      </c>
      <c r="H496" s="5">
        <v>44</v>
      </c>
      <c r="I496" s="6">
        <v>39335</v>
      </c>
      <c r="J496" s="7">
        <v>181247</v>
      </c>
      <c r="K496" s="9" t="s">
        <v>1717</v>
      </c>
      <c r="L496" s="9" t="s">
        <v>1736</v>
      </c>
      <c r="M496">
        <f t="shared" ca="1" si="14"/>
        <v>18</v>
      </c>
      <c r="N496">
        <f t="shared" ca="1" si="15"/>
        <v>9.5</v>
      </c>
    </row>
    <row r="497" spans="1:14" x14ac:dyDescent="0.3">
      <c r="A497" s="5" t="s">
        <v>1795</v>
      </c>
      <c r="B497" s="9" t="s">
        <v>1796</v>
      </c>
      <c r="C497" s="9" t="s">
        <v>34</v>
      </c>
      <c r="D497" s="9" t="s">
        <v>50</v>
      </c>
      <c r="E497" s="9" t="s">
        <v>31</v>
      </c>
      <c r="F497" s="9" t="s">
        <v>35</v>
      </c>
      <c r="G497" s="9" t="s">
        <v>73</v>
      </c>
      <c r="H497" s="5">
        <v>38</v>
      </c>
      <c r="I497" s="6">
        <v>39634</v>
      </c>
      <c r="J497" s="7">
        <v>78056</v>
      </c>
      <c r="K497" s="9" t="s">
        <v>1717</v>
      </c>
      <c r="L497" s="9" t="s">
        <v>1736</v>
      </c>
      <c r="M497">
        <f t="shared" ca="1" si="14"/>
        <v>17</v>
      </c>
      <c r="N497">
        <f t="shared" ca="1" si="15"/>
        <v>8</v>
      </c>
    </row>
    <row r="498" spans="1:14" x14ac:dyDescent="0.3">
      <c r="A498" s="5" t="s">
        <v>1266</v>
      </c>
      <c r="B498" s="9" t="s">
        <v>1267</v>
      </c>
      <c r="C498" s="9" t="s">
        <v>23</v>
      </c>
      <c r="D498" s="9" t="s">
        <v>68</v>
      </c>
      <c r="E498" s="9" t="s">
        <v>16</v>
      </c>
      <c r="F498" s="9" t="s">
        <v>35</v>
      </c>
      <c r="G498" s="9" t="s">
        <v>26</v>
      </c>
      <c r="H498" s="5">
        <v>26</v>
      </c>
      <c r="I498" s="6">
        <v>43753</v>
      </c>
      <c r="J498" s="7">
        <v>151556</v>
      </c>
      <c r="K498" s="9" t="s">
        <v>19</v>
      </c>
      <c r="L498" s="9" t="s">
        <v>45</v>
      </c>
      <c r="M498">
        <f t="shared" ca="1" si="14"/>
        <v>6</v>
      </c>
      <c r="N498">
        <f t="shared" ca="1" si="15"/>
        <v>4</v>
      </c>
    </row>
    <row r="499" spans="1:14" x14ac:dyDescent="0.3">
      <c r="A499" s="5" t="s">
        <v>1974</v>
      </c>
      <c r="B499" s="9" t="s">
        <v>1975</v>
      </c>
      <c r="C499" s="9" t="s">
        <v>23</v>
      </c>
      <c r="D499" s="9" t="s">
        <v>56</v>
      </c>
      <c r="E499" s="9" t="s">
        <v>41</v>
      </c>
      <c r="F499" s="9" t="s">
        <v>17</v>
      </c>
      <c r="G499" s="9" t="s">
        <v>73</v>
      </c>
      <c r="H499" s="5">
        <v>53</v>
      </c>
      <c r="I499" s="6">
        <v>38919</v>
      </c>
      <c r="J499" s="7">
        <v>151246</v>
      </c>
      <c r="K499" s="9" t="s">
        <v>1717</v>
      </c>
      <c r="L499" s="9" t="s">
        <v>1736</v>
      </c>
      <c r="M499">
        <f t="shared" ca="1" si="14"/>
        <v>19</v>
      </c>
      <c r="N499">
        <f t="shared" ca="1" si="15"/>
        <v>9.5</v>
      </c>
    </row>
    <row r="500" spans="1:14" x14ac:dyDescent="0.3">
      <c r="A500" s="5" t="s">
        <v>880</v>
      </c>
      <c r="B500" s="9" t="s">
        <v>881</v>
      </c>
      <c r="C500" s="9" t="s">
        <v>44</v>
      </c>
      <c r="D500" s="9" t="s">
        <v>68</v>
      </c>
      <c r="E500" s="9" t="s">
        <v>41</v>
      </c>
      <c r="F500" s="9" t="s">
        <v>35</v>
      </c>
      <c r="G500" s="9" t="s">
        <v>73</v>
      </c>
      <c r="H500" s="5">
        <v>51</v>
      </c>
      <c r="I500" s="6">
        <v>39252</v>
      </c>
      <c r="J500" s="7">
        <v>45206</v>
      </c>
      <c r="K500" s="9" t="s">
        <v>19</v>
      </c>
      <c r="L500" s="9" t="s">
        <v>76</v>
      </c>
      <c r="M500">
        <f t="shared" ca="1" si="14"/>
        <v>18</v>
      </c>
      <c r="N500">
        <f t="shared" ca="1" si="15"/>
        <v>9.5</v>
      </c>
    </row>
    <row r="501" spans="1:14" x14ac:dyDescent="0.3">
      <c r="A501" s="5" t="s">
        <v>900</v>
      </c>
      <c r="B501" s="9" t="s">
        <v>1948</v>
      </c>
      <c r="C501" s="9" t="s">
        <v>59</v>
      </c>
      <c r="D501" s="9" t="s">
        <v>60</v>
      </c>
      <c r="E501" s="9" t="s">
        <v>41</v>
      </c>
      <c r="F501" s="9" t="s">
        <v>17</v>
      </c>
      <c r="G501" s="9" t="s">
        <v>73</v>
      </c>
      <c r="H501" s="5">
        <v>47</v>
      </c>
      <c r="I501" s="6">
        <v>43375</v>
      </c>
      <c r="J501" s="7">
        <v>111404</v>
      </c>
      <c r="K501" s="9" t="s">
        <v>1717</v>
      </c>
      <c r="L501" s="9" t="s">
        <v>1721</v>
      </c>
      <c r="M501">
        <f t="shared" ca="1" si="14"/>
        <v>7</v>
      </c>
      <c r="N501">
        <f t="shared" ca="1" si="15"/>
        <v>4</v>
      </c>
    </row>
    <row r="502" spans="1:14" x14ac:dyDescent="0.3">
      <c r="A502" s="5" t="s">
        <v>900</v>
      </c>
      <c r="B502" s="9" t="s">
        <v>901</v>
      </c>
      <c r="C502" s="9" t="s">
        <v>67</v>
      </c>
      <c r="D502" s="9" t="s">
        <v>50</v>
      </c>
      <c r="E502" s="9" t="s">
        <v>41</v>
      </c>
      <c r="F502" s="9" t="s">
        <v>17</v>
      </c>
      <c r="G502" s="9" t="s">
        <v>26</v>
      </c>
      <c r="H502" s="5">
        <v>36</v>
      </c>
      <c r="I502" s="6">
        <v>43843</v>
      </c>
      <c r="J502" s="7">
        <v>253294</v>
      </c>
      <c r="K502" s="9" t="s">
        <v>19</v>
      </c>
      <c r="L502" s="9" t="s">
        <v>45</v>
      </c>
      <c r="M502">
        <f t="shared" ca="1" si="14"/>
        <v>5</v>
      </c>
      <c r="N502">
        <f t="shared" ca="1" si="15"/>
        <v>3</v>
      </c>
    </row>
    <row r="503" spans="1:14" x14ac:dyDescent="0.3">
      <c r="A503" s="5" t="s">
        <v>21</v>
      </c>
      <c r="B503" s="9" t="s">
        <v>22</v>
      </c>
      <c r="C503" s="9" t="s">
        <v>23</v>
      </c>
      <c r="D503" s="9" t="s">
        <v>24</v>
      </c>
      <c r="E503" s="9" t="s">
        <v>25</v>
      </c>
      <c r="F503" s="9" t="s">
        <v>17</v>
      </c>
      <c r="G503" s="9" t="s">
        <v>26</v>
      </c>
      <c r="H503" s="5">
        <v>50</v>
      </c>
      <c r="I503" s="6">
        <v>39016</v>
      </c>
      <c r="J503" s="7">
        <v>163099</v>
      </c>
      <c r="K503" s="9" t="s">
        <v>19</v>
      </c>
      <c r="L503" s="9" t="s">
        <v>27</v>
      </c>
      <c r="M503">
        <f t="shared" ca="1" si="14"/>
        <v>19</v>
      </c>
      <c r="N503">
        <f t="shared" ca="1" si="15"/>
        <v>9.5</v>
      </c>
    </row>
    <row r="504" spans="1:14" x14ac:dyDescent="0.3">
      <c r="A504" s="5" t="s">
        <v>1652</v>
      </c>
      <c r="B504" s="9" t="s">
        <v>1653</v>
      </c>
      <c r="C504" s="9" t="s">
        <v>40</v>
      </c>
      <c r="D504" s="9" t="s">
        <v>15</v>
      </c>
      <c r="E504" s="9" t="s">
        <v>16</v>
      </c>
      <c r="F504" s="9" t="s">
        <v>17</v>
      </c>
      <c r="G504" s="9" t="s">
        <v>36</v>
      </c>
      <c r="H504" s="5">
        <v>55</v>
      </c>
      <c r="I504" s="6">
        <v>38391</v>
      </c>
      <c r="J504" s="7">
        <v>115145</v>
      </c>
      <c r="K504" s="9" t="s">
        <v>1310</v>
      </c>
      <c r="L504" s="9" t="s">
        <v>1311</v>
      </c>
      <c r="M504">
        <f t="shared" ca="1" si="14"/>
        <v>20</v>
      </c>
      <c r="N504">
        <f t="shared" ca="1" si="15"/>
        <v>9.5</v>
      </c>
    </row>
    <row r="505" spans="1:14" x14ac:dyDescent="0.3">
      <c r="A505" s="5" t="s">
        <v>86</v>
      </c>
      <c r="B505" s="9" t="s">
        <v>87</v>
      </c>
      <c r="C505" s="9" t="s">
        <v>88</v>
      </c>
      <c r="D505" s="9" t="s">
        <v>15</v>
      </c>
      <c r="E505" s="9" t="s">
        <v>16</v>
      </c>
      <c r="F505" s="9" t="s">
        <v>35</v>
      </c>
      <c r="G505" s="9" t="s">
        <v>36</v>
      </c>
      <c r="H505" s="5">
        <v>28</v>
      </c>
      <c r="I505" s="6">
        <v>42911</v>
      </c>
      <c r="J505" s="7">
        <v>54775</v>
      </c>
      <c r="K505" s="9" t="s">
        <v>19</v>
      </c>
      <c r="L505" s="9" t="s">
        <v>76</v>
      </c>
      <c r="M505">
        <f t="shared" ca="1" si="14"/>
        <v>8</v>
      </c>
      <c r="N505">
        <f t="shared" ca="1" si="15"/>
        <v>5.5</v>
      </c>
    </row>
    <row r="506" spans="1:14" x14ac:dyDescent="0.3">
      <c r="A506" s="5" t="s">
        <v>556</v>
      </c>
      <c r="B506" s="9" t="s">
        <v>557</v>
      </c>
      <c r="C506" s="9" t="s">
        <v>67</v>
      </c>
      <c r="D506" s="9" t="s">
        <v>56</v>
      </c>
      <c r="E506" s="9" t="s">
        <v>41</v>
      </c>
      <c r="F506" s="9" t="s">
        <v>35</v>
      </c>
      <c r="G506" s="9" t="s">
        <v>36</v>
      </c>
      <c r="H506" s="5">
        <v>31</v>
      </c>
      <c r="I506" s="6">
        <v>42250</v>
      </c>
      <c r="J506" s="7">
        <v>250953</v>
      </c>
      <c r="K506" s="9" t="s">
        <v>19</v>
      </c>
      <c r="L506" s="9" t="s">
        <v>76</v>
      </c>
      <c r="M506">
        <f t="shared" ca="1" si="14"/>
        <v>10</v>
      </c>
      <c r="N506">
        <f t="shared" ca="1" si="15"/>
        <v>5.5</v>
      </c>
    </row>
    <row r="507" spans="1:14" x14ac:dyDescent="0.3">
      <c r="A507" s="5" t="s">
        <v>683</v>
      </c>
      <c r="B507" s="9" t="s">
        <v>684</v>
      </c>
      <c r="C507" s="9" t="s">
        <v>14</v>
      </c>
      <c r="D507" s="9" t="s">
        <v>24</v>
      </c>
      <c r="E507" s="9" t="s">
        <v>41</v>
      </c>
      <c r="F507" s="9" t="s">
        <v>17</v>
      </c>
      <c r="G507" s="9" t="s">
        <v>18</v>
      </c>
      <c r="H507" s="5">
        <v>59</v>
      </c>
      <c r="I507" s="6">
        <v>43400</v>
      </c>
      <c r="J507" s="7">
        <v>139208</v>
      </c>
      <c r="K507" s="9" t="s">
        <v>19</v>
      </c>
      <c r="L507" s="9" t="s">
        <v>51</v>
      </c>
      <c r="M507">
        <f t="shared" ca="1" si="14"/>
        <v>7</v>
      </c>
      <c r="N507">
        <f t="shared" ca="1" si="15"/>
        <v>4</v>
      </c>
    </row>
    <row r="508" spans="1:14" x14ac:dyDescent="0.3">
      <c r="A508" s="5" t="s">
        <v>945</v>
      </c>
      <c r="B508" s="9" t="s">
        <v>1539</v>
      </c>
      <c r="C508" s="9" t="s">
        <v>34</v>
      </c>
      <c r="D508" s="9" t="s">
        <v>79</v>
      </c>
      <c r="E508" s="9" t="s">
        <v>25</v>
      </c>
      <c r="F508" s="9" t="s">
        <v>35</v>
      </c>
      <c r="G508" s="9" t="s">
        <v>36</v>
      </c>
      <c r="H508" s="5">
        <v>63</v>
      </c>
      <c r="I508" s="6">
        <v>43171</v>
      </c>
      <c r="J508" s="7">
        <v>73200</v>
      </c>
      <c r="K508" s="9" t="s">
        <v>1310</v>
      </c>
      <c r="L508" s="9" t="s">
        <v>1316</v>
      </c>
      <c r="M508">
        <f t="shared" ca="1" si="14"/>
        <v>7</v>
      </c>
      <c r="N508">
        <f t="shared" ca="1" si="15"/>
        <v>4</v>
      </c>
    </row>
    <row r="509" spans="1:14" x14ac:dyDescent="0.3">
      <c r="A509" s="5" t="s">
        <v>945</v>
      </c>
      <c r="B509" s="9" t="s">
        <v>946</v>
      </c>
      <c r="C509" s="9" t="s">
        <v>67</v>
      </c>
      <c r="D509" s="9" t="s">
        <v>68</v>
      </c>
      <c r="E509" s="9" t="s">
        <v>25</v>
      </c>
      <c r="F509" s="9" t="s">
        <v>17</v>
      </c>
      <c r="G509" s="9" t="s">
        <v>36</v>
      </c>
      <c r="H509" s="5">
        <v>52</v>
      </c>
      <c r="I509" s="6">
        <v>35886</v>
      </c>
      <c r="J509" s="7">
        <v>182035</v>
      </c>
      <c r="K509" s="9" t="s">
        <v>19</v>
      </c>
      <c r="L509" s="9" t="s">
        <v>27</v>
      </c>
      <c r="M509">
        <f t="shared" ca="1" si="14"/>
        <v>27</v>
      </c>
      <c r="N509">
        <f t="shared" ca="1" si="15"/>
        <v>10</v>
      </c>
    </row>
    <row r="510" spans="1:14" x14ac:dyDescent="0.3">
      <c r="A510" s="5" t="s">
        <v>1978</v>
      </c>
      <c r="B510" s="9" t="s">
        <v>1979</v>
      </c>
      <c r="C510" s="9" t="s">
        <v>91</v>
      </c>
      <c r="D510" s="9" t="s">
        <v>68</v>
      </c>
      <c r="E510" s="9" t="s">
        <v>31</v>
      </c>
      <c r="F510" s="9" t="s">
        <v>35</v>
      </c>
      <c r="G510" s="9" t="s">
        <v>73</v>
      </c>
      <c r="H510" s="5">
        <v>47</v>
      </c>
      <c r="I510" s="6">
        <v>38684</v>
      </c>
      <c r="J510" s="7">
        <v>62749</v>
      </c>
      <c r="K510" s="9" t="s">
        <v>1717</v>
      </c>
      <c r="L510" s="9" t="s">
        <v>1718</v>
      </c>
      <c r="M510">
        <f t="shared" ca="1" si="14"/>
        <v>20</v>
      </c>
      <c r="N510">
        <f t="shared" ca="1" si="15"/>
        <v>9.5</v>
      </c>
    </row>
    <row r="511" spans="1:14" x14ac:dyDescent="0.3">
      <c r="A511" s="5" t="s">
        <v>825</v>
      </c>
      <c r="B511" s="9" t="s">
        <v>826</v>
      </c>
      <c r="C511" s="9" t="s">
        <v>91</v>
      </c>
      <c r="D511" s="9" t="s">
        <v>24</v>
      </c>
      <c r="E511" s="9" t="s">
        <v>31</v>
      </c>
      <c r="F511" s="9" t="s">
        <v>17</v>
      </c>
      <c r="G511" s="9" t="s">
        <v>26</v>
      </c>
      <c r="H511" s="5">
        <v>41</v>
      </c>
      <c r="I511" s="6">
        <v>39091</v>
      </c>
      <c r="J511" s="7">
        <v>50685</v>
      </c>
      <c r="K511" s="9" t="s">
        <v>19</v>
      </c>
      <c r="L511" s="9" t="s">
        <v>76</v>
      </c>
      <c r="M511">
        <f t="shared" ca="1" si="14"/>
        <v>18</v>
      </c>
      <c r="N511">
        <f t="shared" ca="1" si="15"/>
        <v>9.5</v>
      </c>
    </row>
    <row r="512" spans="1:14" x14ac:dyDescent="0.3">
      <c r="A512" s="5" t="s">
        <v>1833</v>
      </c>
      <c r="B512" s="9" t="s">
        <v>1834</v>
      </c>
      <c r="C512" s="9" t="s">
        <v>44</v>
      </c>
      <c r="D512" s="9" t="s">
        <v>50</v>
      </c>
      <c r="E512" s="9" t="s">
        <v>41</v>
      </c>
      <c r="F512" s="9" t="s">
        <v>17</v>
      </c>
      <c r="G512" s="9" t="s">
        <v>73</v>
      </c>
      <c r="H512" s="5">
        <v>56</v>
      </c>
      <c r="I512" s="6">
        <v>34802</v>
      </c>
      <c r="J512" s="7">
        <v>50857</v>
      </c>
      <c r="K512" s="9" t="s">
        <v>1717</v>
      </c>
      <c r="L512" s="9" t="s">
        <v>1718</v>
      </c>
      <c r="M512">
        <f t="shared" ca="1" si="14"/>
        <v>30</v>
      </c>
      <c r="N512">
        <f t="shared" ca="1" si="15"/>
        <v>15</v>
      </c>
    </row>
    <row r="513" spans="1:14" x14ac:dyDescent="0.3">
      <c r="A513" s="5" t="s">
        <v>622</v>
      </c>
      <c r="B513" s="9" t="s">
        <v>623</v>
      </c>
      <c r="C513" s="9" t="s">
        <v>67</v>
      </c>
      <c r="D513" s="9" t="s">
        <v>79</v>
      </c>
      <c r="E513" s="9" t="s">
        <v>31</v>
      </c>
      <c r="F513" s="9" t="s">
        <v>17</v>
      </c>
      <c r="G513" s="9" t="s">
        <v>18</v>
      </c>
      <c r="H513" s="5">
        <v>54</v>
      </c>
      <c r="I513" s="6">
        <v>36757</v>
      </c>
      <c r="J513" s="7">
        <v>222224</v>
      </c>
      <c r="K513" s="9" t="s">
        <v>19</v>
      </c>
      <c r="L513" s="9" t="s">
        <v>76</v>
      </c>
      <c r="M513">
        <f t="shared" ca="1" si="14"/>
        <v>25</v>
      </c>
      <c r="N513">
        <f t="shared" ca="1" si="15"/>
        <v>10</v>
      </c>
    </row>
    <row r="514" spans="1:14" x14ac:dyDescent="0.3">
      <c r="A514" s="5" t="s">
        <v>310</v>
      </c>
      <c r="B514" s="9" t="s">
        <v>1645</v>
      </c>
      <c r="C514" s="9" t="s">
        <v>44</v>
      </c>
      <c r="D514" s="9" t="s">
        <v>24</v>
      </c>
      <c r="E514" s="9" t="s">
        <v>41</v>
      </c>
      <c r="F514" s="9" t="s">
        <v>35</v>
      </c>
      <c r="G514" s="9" t="s">
        <v>36</v>
      </c>
      <c r="H514" s="5">
        <v>37</v>
      </c>
      <c r="I514" s="6">
        <v>42317</v>
      </c>
      <c r="J514" s="7">
        <v>45369</v>
      </c>
      <c r="K514" s="9" t="s">
        <v>1310</v>
      </c>
      <c r="L514" s="9" t="s">
        <v>1323</v>
      </c>
      <c r="M514">
        <f t="shared" ca="1" si="14"/>
        <v>10</v>
      </c>
      <c r="N514">
        <f t="shared" ca="1" si="15"/>
        <v>5.5</v>
      </c>
    </row>
    <row r="515" spans="1:14" x14ac:dyDescent="0.3">
      <c r="A515" s="5" t="s">
        <v>310</v>
      </c>
      <c r="B515" s="9" t="s">
        <v>311</v>
      </c>
      <c r="C515" s="9" t="s">
        <v>67</v>
      </c>
      <c r="D515" s="9" t="s">
        <v>68</v>
      </c>
      <c r="E515" s="9" t="s">
        <v>41</v>
      </c>
      <c r="F515" s="9" t="s">
        <v>17</v>
      </c>
      <c r="G515" s="9" t="s">
        <v>18</v>
      </c>
      <c r="H515" s="5">
        <v>30</v>
      </c>
      <c r="I515" s="6">
        <v>42634</v>
      </c>
      <c r="J515" s="7">
        <v>221217</v>
      </c>
      <c r="K515" s="9" t="s">
        <v>19</v>
      </c>
      <c r="L515" s="9" t="s">
        <v>76</v>
      </c>
      <c r="M515">
        <f t="shared" ref="M515:M578" ca="1" si="16">DATEDIF(I515,TODAY(),"Y")</f>
        <v>9</v>
      </c>
      <c r="N515">
        <f t="shared" ref="N515:N578" ca="1" si="17">_xlfn.XLOOKUP(M515,$Q$3:$Q$11,$R$3:$R$11,0,-1)</f>
        <v>5.5</v>
      </c>
    </row>
    <row r="516" spans="1:14" x14ac:dyDescent="0.3">
      <c r="A516" s="5" t="s">
        <v>1004</v>
      </c>
      <c r="B516" s="9" t="s">
        <v>1005</v>
      </c>
      <c r="C516" s="9" t="s">
        <v>121</v>
      </c>
      <c r="D516" s="9" t="s">
        <v>56</v>
      </c>
      <c r="E516" s="9" t="s">
        <v>16</v>
      </c>
      <c r="F516" s="9" t="s">
        <v>35</v>
      </c>
      <c r="G516" s="9" t="s">
        <v>26</v>
      </c>
      <c r="H516" s="5">
        <v>38</v>
      </c>
      <c r="I516" s="6">
        <v>43798</v>
      </c>
      <c r="J516" s="7">
        <v>69647</v>
      </c>
      <c r="K516" s="9" t="s">
        <v>19</v>
      </c>
      <c r="L516" s="9" t="s">
        <v>45</v>
      </c>
      <c r="M516">
        <f t="shared" ca="1" si="16"/>
        <v>6</v>
      </c>
      <c r="N516">
        <f t="shared" ca="1" si="17"/>
        <v>4</v>
      </c>
    </row>
    <row r="517" spans="1:14" x14ac:dyDescent="0.3">
      <c r="A517" s="5" t="s">
        <v>1920</v>
      </c>
      <c r="B517" s="9" t="s">
        <v>1921</v>
      </c>
      <c r="C517" s="9" t="s">
        <v>116</v>
      </c>
      <c r="D517" s="9" t="s">
        <v>60</v>
      </c>
      <c r="E517" s="9" t="s">
        <v>16</v>
      </c>
      <c r="F517" s="9" t="s">
        <v>35</v>
      </c>
      <c r="G517" s="9" t="s">
        <v>73</v>
      </c>
      <c r="H517" s="5">
        <v>27</v>
      </c>
      <c r="I517" s="6">
        <v>43371</v>
      </c>
      <c r="J517" s="7">
        <v>64247</v>
      </c>
      <c r="K517" s="9" t="s">
        <v>1717</v>
      </c>
      <c r="L517" s="9" t="s">
        <v>1721</v>
      </c>
      <c r="M517">
        <f t="shared" ca="1" si="16"/>
        <v>7</v>
      </c>
      <c r="N517">
        <f t="shared" ca="1" si="17"/>
        <v>4</v>
      </c>
    </row>
    <row r="518" spans="1:14" x14ac:dyDescent="0.3">
      <c r="A518" s="5" t="s">
        <v>1469</v>
      </c>
      <c r="B518" s="9" t="s">
        <v>1470</v>
      </c>
      <c r="C518" s="9" t="s">
        <v>40</v>
      </c>
      <c r="D518" s="9" t="s">
        <v>50</v>
      </c>
      <c r="E518" s="9" t="s">
        <v>25</v>
      </c>
      <c r="F518" s="9" t="s">
        <v>35</v>
      </c>
      <c r="G518" s="9" t="s">
        <v>36</v>
      </c>
      <c r="H518" s="5">
        <v>63</v>
      </c>
      <c r="I518" s="6">
        <v>42214</v>
      </c>
      <c r="J518" s="7">
        <v>103724</v>
      </c>
      <c r="K518" s="9" t="s">
        <v>1310</v>
      </c>
      <c r="L518" s="9" t="s">
        <v>1316</v>
      </c>
      <c r="M518">
        <f t="shared" ca="1" si="16"/>
        <v>10</v>
      </c>
      <c r="N518">
        <f t="shared" ca="1" si="17"/>
        <v>5.5</v>
      </c>
    </row>
    <row r="519" spans="1:14" x14ac:dyDescent="0.3">
      <c r="A519" s="5" t="s">
        <v>1701</v>
      </c>
      <c r="B519" s="9" t="s">
        <v>1702</v>
      </c>
      <c r="C519" s="9" t="s">
        <v>59</v>
      </c>
      <c r="D519" s="9" t="s">
        <v>60</v>
      </c>
      <c r="E519" s="9" t="s">
        <v>25</v>
      </c>
      <c r="F519" s="9" t="s">
        <v>17</v>
      </c>
      <c r="G519" s="9" t="s">
        <v>36</v>
      </c>
      <c r="H519" s="5">
        <v>37</v>
      </c>
      <c r="I519" s="6">
        <v>41318</v>
      </c>
      <c r="J519" s="7">
        <v>124827</v>
      </c>
      <c r="K519" s="9" t="s">
        <v>1310</v>
      </c>
      <c r="L519" s="9" t="s">
        <v>1323</v>
      </c>
      <c r="M519">
        <f t="shared" ca="1" si="16"/>
        <v>12</v>
      </c>
      <c r="N519">
        <f t="shared" ca="1" si="17"/>
        <v>8</v>
      </c>
    </row>
    <row r="520" spans="1:14" x14ac:dyDescent="0.3">
      <c r="A520" s="5" t="s">
        <v>835</v>
      </c>
      <c r="B520" s="9" t="s">
        <v>836</v>
      </c>
      <c r="C520" s="9" t="s">
        <v>14</v>
      </c>
      <c r="D520" s="9" t="s">
        <v>24</v>
      </c>
      <c r="E520" s="9" t="s">
        <v>31</v>
      </c>
      <c r="F520" s="9" t="s">
        <v>17</v>
      </c>
      <c r="G520" s="9" t="s">
        <v>18</v>
      </c>
      <c r="H520" s="5">
        <v>33</v>
      </c>
      <c r="I520" s="6">
        <v>43763</v>
      </c>
      <c r="J520" s="7">
        <v>131652</v>
      </c>
      <c r="K520" s="9" t="s">
        <v>19</v>
      </c>
      <c r="L520" s="9" t="s">
        <v>20</v>
      </c>
      <c r="M520">
        <f t="shared" ca="1" si="16"/>
        <v>6</v>
      </c>
      <c r="N520">
        <f t="shared" ca="1" si="17"/>
        <v>4</v>
      </c>
    </row>
    <row r="521" spans="1:14" x14ac:dyDescent="0.3">
      <c r="A521" s="5" t="s">
        <v>1839</v>
      </c>
      <c r="B521" s="9" t="s">
        <v>1840</v>
      </c>
      <c r="C521" s="9" t="s">
        <v>23</v>
      </c>
      <c r="D521" s="9" t="s">
        <v>60</v>
      </c>
      <c r="E521" s="9" t="s">
        <v>41</v>
      </c>
      <c r="F521" s="9" t="s">
        <v>35</v>
      </c>
      <c r="G521" s="9" t="s">
        <v>73</v>
      </c>
      <c r="H521" s="5">
        <v>45</v>
      </c>
      <c r="I521" s="6">
        <v>39185</v>
      </c>
      <c r="J521" s="7">
        <v>189680</v>
      </c>
      <c r="K521" s="9" t="s">
        <v>1717</v>
      </c>
      <c r="L521" s="9" t="s">
        <v>1736</v>
      </c>
      <c r="M521">
        <f t="shared" ca="1" si="16"/>
        <v>18</v>
      </c>
      <c r="N521">
        <f t="shared" ca="1" si="17"/>
        <v>9.5</v>
      </c>
    </row>
    <row r="522" spans="1:14" x14ac:dyDescent="0.3">
      <c r="A522" s="5" t="s">
        <v>490</v>
      </c>
      <c r="B522" s="9" t="s">
        <v>491</v>
      </c>
      <c r="C522" s="9" t="s">
        <v>23</v>
      </c>
      <c r="D522" s="9" t="s">
        <v>15</v>
      </c>
      <c r="E522" s="9" t="s">
        <v>25</v>
      </c>
      <c r="F522" s="9" t="s">
        <v>17</v>
      </c>
      <c r="G522" s="9" t="s">
        <v>26</v>
      </c>
      <c r="H522" s="5">
        <v>26</v>
      </c>
      <c r="I522" s="6">
        <v>44403</v>
      </c>
      <c r="J522" s="7">
        <v>151108</v>
      </c>
      <c r="K522" s="9" t="s">
        <v>19</v>
      </c>
      <c r="L522" s="9" t="s">
        <v>37</v>
      </c>
      <c r="M522">
        <f t="shared" ca="1" si="16"/>
        <v>4</v>
      </c>
      <c r="N522">
        <f t="shared" ca="1" si="17"/>
        <v>3</v>
      </c>
    </row>
    <row r="523" spans="1:14" x14ac:dyDescent="0.3">
      <c r="A523" s="5" t="s">
        <v>1250</v>
      </c>
      <c r="B523" s="9" t="s">
        <v>1251</v>
      </c>
      <c r="C523" s="9" t="s">
        <v>91</v>
      </c>
      <c r="D523" s="9" t="s">
        <v>24</v>
      </c>
      <c r="E523" s="9" t="s">
        <v>31</v>
      </c>
      <c r="F523" s="9" t="s">
        <v>35</v>
      </c>
      <c r="G523" s="9" t="s">
        <v>73</v>
      </c>
      <c r="H523" s="5">
        <v>39</v>
      </c>
      <c r="I523" s="6">
        <v>39708</v>
      </c>
      <c r="J523" s="7">
        <v>62861</v>
      </c>
      <c r="K523" s="9" t="s">
        <v>19</v>
      </c>
      <c r="L523" s="9" t="s">
        <v>20</v>
      </c>
      <c r="M523">
        <f t="shared" ca="1" si="16"/>
        <v>17</v>
      </c>
      <c r="N523">
        <f t="shared" ca="1" si="17"/>
        <v>8</v>
      </c>
    </row>
    <row r="524" spans="1:14" x14ac:dyDescent="0.3">
      <c r="A524" s="5" t="s">
        <v>783</v>
      </c>
      <c r="B524" s="9" t="s">
        <v>784</v>
      </c>
      <c r="C524" s="9" t="s">
        <v>67</v>
      </c>
      <c r="D524" s="9" t="s">
        <v>24</v>
      </c>
      <c r="E524" s="9" t="s">
        <v>41</v>
      </c>
      <c r="F524" s="9" t="s">
        <v>17</v>
      </c>
      <c r="G524" s="9" t="s">
        <v>26</v>
      </c>
      <c r="H524" s="5">
        <v>36</v>
      </c>
      <c r="I524" s="6">
        <v>41650</v>
      </c>
      <c r="J524" s="7">
        <v>202323</v>
      </c>
      <c r="K524" s="9" t="s">
        <v>19</v>
      </c>
      <c r="L524" s="9" t="s">
        <v>27</v>
      </c>
      <c r="M524">
        <f t="shared" ca="1" si="16"/>
        <v>11</v>
      </c>
      <c r="N524">
        <f t="shared" ca="1" si="17"/>
        <v>5.5</v>
      </c>
    </row>
    <row r="525" spans="1:14" x14ac:dyDescent="0.3">
      <c r="A525" s="5" t="s">
        <v>1819</v>
      </c>
      <c r="B525" s="9" t="s">
        <v>1820</v>
      </c>
      <c r="C525" s="9" t="s">
        <v>23</v>
      </c>
      <c r="D525" s="9" t="s">
        <v>60</v>
      </c>
      <c r="E525" s="9" t="s">
        <v>16</v>
      </c>
      <c r="F525" s="9" t="s">
        <v>17</v>
      </c>
      <c r="G525" s="9" t="s">
        <v>73</v>
      </c>
      <c r="H525" s="5">
        <v>37</v>
      </c>
      <c r="I525" s="6">
        <v>39528</v>
      </c>
      <c r="J525" s="7">
        <v>156277</v>
      </c>
      <c r="K525" s="9" t="s">
        <v>1717</v>
      </c>
      <c r="L525" s="9" t="s">
        <v>1718</v>
      </c>
      <c r="M525">
        <f t="shared" ca="1" si="16"/>
        <v>17</v>
      </c>
      <c r="N525">
        <f t="shared" ca="1" si="17"/>
        <v>8</v>
      </c>
    </row>
    <row r="526" spans="1:14" x14ac:dyDescent="0.3">
      <c r="A526" s="5" t="s">
        <v>1232</v>
      </c>
      <c r="B526" s="9" t="s">
        <v>1233</v>
      </c>
      <c r="C526" s="9" t="s">
        <v>196</v>
      </c>
      <c r="D526" s="9" t="s">
        <v>60</v>
      </c>
      <c r="E526" s="9" t="s">
        <v>25</v>
      </c>
      <c r="F526" s="9" t="s">
        <v>35</v>
      </c>
      <c r="G526" s="9" t="s">
        <v>36</v>
      </c>
      <c r="H526" s="5">
        <v>25</v>
      </c>
      <c r="I526" s="6">
        <v>44385</v>
      </c>
      <c r="J526" s="7">
        <v>67275</v>
      </c>
      <c r="K526" s="9" t="s">
        <v>19</v>
      </c>
      <c r="L526" s="9" t="s">
        <v>76</v>
      </c>
      <c r="M526">
        <f t="shared" ca="1" si="16"/>
        <v>4</v>
      </c>
      <c r="N526">
        <f t="shared" ca="1" si="17"/>
        <v>3</v>
      </c>
    </row>
    <row r="527" spans="1:14" x14ac:dyDescent="0.3">
      <c r="A527" s="5" t="s">
        <v>1705</v>
      </c>
      <c r="B527" s="9" t="s">
        <v>1706</v>
      </c>
      <c r="C527" s="9" t="s">
        <v>40</v>
      </c>
      <c r="D527" s="9" t="s">
        <v>68</v>
      </c>
      <c r="E527" s="9" t="s">
        <v>25</v>
      </c>
      <c r="F527" s="9" t="s">
        <v>35</v>
      </c>
      <c r="G527" s="9" t="s">
        <v>36</v>
      </c>
      <c r="H527" s="5">
        <v>49</v>
      </c>
      <c r="I527" s="6">
        <v>43240</v>
      </c>
      <c r="J527" s="7">
        <v>119397</v>
      </c>
      <c r="K527" s="9" t="s">
        <v>1310</v>
      </c>
      <c r="L527" s="9" t="s">
        <v>1323</v>
      </c>
      <c r="M527">
        <f t="shared" ca="1" si="16"/>
        <v>7</v>
      </c>
      <c r="N527">
        <f t="shared" ca="1" si="17"/>
        <v>4</v>
      </c>
    </row>
    <row r="528" spans="1:14" x14ac:dyDescent="0.3">
      <c r="A528" s="5" t="s">
        <v>806</v>
      </c>
      <c r="B528" s="9" t="s">
        <v>1374</v>
      </c>
      <c r="C528" s="9" t="s">
        <v>133</v>
      </c>
      <c r="D528" s="9" t="s">
        <v>60</v>
      </c>
      <c r="E528" s="9" t="s">
        <v>16</v>
      </c>
      <c r="F528" s="9" t="s">
        <v>17</v>
      </c>
      <c r="G528" s="9" t="s">
        <v>36</v>
      </c>
      <c r="H528" s="5">
        <v>46</v>
      </c>
      <c r="I528" s="6">
        <v>44206</v>
      </c>
      <c r="J528" s="7">
        <v>86538</v>
      </c>
      <c r="K528" s="9" t="s">
        <v>1310</v>
      </c>
      <c r="L528" s="9" t="s">
        <v>1330</v>
      </c>
      <c r="M528">
        <f t="shared" ca="1" si="16"/>
        <v>4</v>
      </c>
      <c r="N528">
        <f t="shared" ca="1" si="17"/>
        <v>3</v>
      </c>
    </row>
    <row r="529" spans="1:14" x14ac:dyDescent="0.3">
      <c r="A529" s="5" t="s">
        <v>806</v>
      </c>
      <c r="B529" s="9" t="s">
        <v>807</v>
      </c>
      <c r="C529" s="9" t="s">
        <v>14</v>
      </c>
      <c r="D529" s="9" t="s">
        <v>24</v>
      </c>
      <c r="E529" s="9" t="s">
        <v>16</v>
      </c>
      <c r="F529" s="9" t="s">
        <v>17</v>
      </c>
      <c r="G529" s="9" t="s">
        <v>73</v>
      </c>
      <c r="H529" s="5">
        <v>45</v>
      </c>
      <c r="I529" s="6">
        <v>42379</v>
      </c>
      <c r="J529" s="7">
        <v>149761</v>
      </c>
      <c r="K529" s="9" t="s">
        <v>19</v>
      </c>
      <c r="L529" s="9" t="s">
        <v>76</v>
      </c>
      <c r="M529">
        <f t="shared" ca="1" si="16"/>
        <v>9</v>
      </c>
      <c r="N529">
        <f t="shared" ca="1" si="17"/>
        <v>5.5</v>
      </c>
    </row>
    <row r="530" spans="1:14" x14ac:dyDescent="0.3">
      <c r="A530" s="5" t="s">
        <v>1189</v>
      </c>
      <c r="B530" s="9" t="s">
        <v>1190</v>
      </c>
      <c r="C530" s="9" t="s">
        <v>142</v>
      </c>
      <c r="D530" s="9" t="s">
        <v>60</v>
      </c>
      <c r="E530" s="9" t="s">
        <v>16</v>
      </c>
      <c r="F530" s="9" t="s">
        <v>35</v>
      </c>
      <c r="G530" s="9" t="s">
        <v>36</v>
      </c>
      <c r="H530" s="5">
        <v>57</v>
      </c>
      <c r="I530" s="6">
        <v>33612</v>
      </c>
      <c r="J530" s="7">
        <v>111299</v>
      </c>
      <c r="K530" s="9" t="s">
        <v>19</v>
      </c>
      <c r="L530" s="9" t="s">
        <v>45</v>
      </c>
      <c r="M530">
        <f t="shared" ca="1" si="16"/>
        <v>33</v>
      </c>
      <c r="N530">
        <f t="shared" ca="1" si="17"/>
        <v>15</v>
      </c>
    </row>
    <row r="531" spans="1:14" x14ac:dyDescent="0.3">
      <c r="A531" s="5" t="s">
        <v>953</v>
      </c>
      <c r="B531" s="9" t="s">
        <v>954</v>
      </c>
      <c r="C531" s="9" t="s">
        <v>14</v>
      </c>
      <c r="D531" s="9" t="s">
        <v>68</v>
      </c>
      <c r="E531" s="9" t="s">
        <v>25</v>
      </c>
      <c r="F531" s="9" t="s">
        <v>35</v>
      </c>
      <c r="G531" s="9" t="s">
        <v>36</v>
      </c>
      <c r="H531" s="5">
        <v>45</v>
      </c>
      <c r="I531" s="6">
        <v>38453</v>
      </c>
      <c r="J531" s="7">
        <v>128468</v>
      </c>
      <c r="K531" s="9" t="s">
        <v>19</v>
      </c>
      <c r="L531" s="9" t="s">
        <v>27</v>
      </c>
      <c r="M531">
        <f t="shared" ca="1" si="16"/>
        <v>20</v>
      </c>
      <c r="N531">
        <f t="shared" ca="1" si="17"/>
        <v>9.5</v>
      </c>
    </row>
    <row r="532" spans="1:14" x14ac:dyDescent="0.3">
      <c r="A532" s="5" t="s">
        <v>1646</v>
      </c>
      <c r="B532" s="9" t="s">
        <v>1647</v>
      </c>
      <c r="C532" s="9" t="s">
        <v>34</v>
      </c>
      <c r="D532" s="9" t="s">
        <v>79</v>
      </c>
      <c r="E532" s="9" t="s">
        <v>25</v>
      </c>
      <c r="F532" s="9" t="s">
        <v>35</v>
      </c>
      <c r="G532" s="9" t="s">
        <v>36</v>
      </c>
      <c r="H532" s="5">
        <v>59</v>
      </c>
      <c r="I532" s="6">
        <v>35502</v>
      </c>
      <c r="J532" s="7">
        <v>83685</v>
      </c>
      <c r="K532" s="9" t="s">
        <v>1310</v>
      </c>
      <c r="L532" s="9" t="s">
        <v>1323</v>
      </c>
      <c r="M532">
        <f t="shared" ca="1" si="16"/>
        <v>28</v>
      </c>
      <c r="N532">
        <f t="shared" ca="1" si="17"/>
        <v>10</v>
      </c>
    </row>
    <row r="533" spans="1:14" x14ac:dyDescent="0.3">
      <c r="A533" s="5" t="s">
        <v>1485</v>
      </c>
      <c r="B533" s="9" t="s">
        <v>1486</v>
      </c>
      <c r="C533" s="9" t="s">
        <v>34</v>
      </c>
      <c r="D533" s="9" t="s">
        <v>50</v>
      </c>
      <c r="E533" s="9" t="s">
        <v>16</v>
      </c>
      <c r="F533" s="9" t="s">
        <v>35</v>
      </c>
      <c r="G533" s="9" t="s">
        <v>36</v>
      </c>
      <c r="H533" s="5">
        <v>34</v>
      </c>
      <c r="I533" s="6">
        <v>40750</v>
      </c>
      <c r="J533" s="7">
        <v>97231</v>
      </c>
      <c r="K533" s="9" t="s">
        <v>1310</v>
      </c>
      <c r="L533" s="9" t="s">
        <v>1323</v>
      </c>
      <c r="M533">
        <f t="shared" ca="1" si="16"/>
        <v>14</v>
      </c>
      <c r="N533">
        <f t="shared" ca="1" si="17"/>
        <v>8</v>
      </c>
    </row>
    <row r="534" spans="1:14" x14ac:dyDescent="0.3">
      <c r="A534" s="5" t="s">
        <v>1835</v>
      </c>
      <c r="B534" s="9" t="s">
        <v>1836</v>
      </c>
      <c r="C534" s="9" t="s">
        <v>116</v>
      </c>
      <c r="D534" s="9" t="s">
        <v>60</v>
      </c>
      <c r="E534" s="9" t="s">
        <v>41</v>
      </c>
      <c r="F534" s="9" t="s">
        <v>35</v>
      </c>
      <c r="G534" s="9" t="s">
        <v>73</v>
      </c>
      <c r="H534" s="5">
        <v>46</v>
      </c>
      <c r="I534" s="6">
        <v>38464</v>
      </c>
      <c r="J534" s="7">
        <v>96639</v>
      </c>
      <c r="K534" s="9" t="s">
        <v>1717</v>
      </c>
      <c r="L534" s="9" t="s">
        <v>1721</v>
      </c>
      <c r="M534">
        <f t="shared" ca="1" si="16"/>
        <v>20</v>
      </c>
      <c r="N534">
        <f t="shared" ca="1" si="17"/>
        <v>9.5</v>
      </c>
    </row>
    <row r="535" spans="1:14" x14ac:dyDescent="0.3">
      <c r="A535" s="5" t="s">
        <v>1047</v>
      </c>
      <c r="B535" s="9" t="s">
        <v>1048</v>
      </c>
      <c r="C535" s="9" t="s">
        <v>44</v>
      </c>
      <c r="D535" s="9" t="s">
        <v>68</v>
      </c>
      <c r="E535" s="9" t="s">
        <v>41</v>
      </c>
      <c r="F535" s="9" t="s">
        <v>17</v>
      </c>
      <c r="G535" s="9" t="s">
        <v>36</v>
      </c>
      <c r="H535" s="5">
        <v>39</v>
      </c>
      <c r="I535" s="6">
        <v>41849</v>
      </c>
      <c r="J535" s="7">
        <v>40897</v>
      </c>
      <c r="K535" s="9" t="s">
        <v>19</v>
      </c>
      <c r="L535" s="9" t="s">
        <v>20</v>
      </c>
      <c r="M535">
        <f t="shared" ca="1" si="16"/>
        <v>11</v>
      </c>
      <c r="N535">
        <f t="shared" ca="1" si="17"/>
        <v>5.5</v>
      </c>
    </row>
    <row r="536" spans="1:14" x14ac:dyDescent="0.3">
      <c r="A536" s="5" t="s">
        <v>452</v>
      </c>
      <c r="B536" s="9" t="s">
        <v>453</v>
      </c>
      <c r="C536" s="9" t="s">
        <v>121</v>
      </c>
      <c r="D536" s="9" t="s">
        <v>56</v>
      </c>
      <c r="E536" s="9" t="s">
        <v>31</v>
      </c>
      <c r="F536" s="9" t="s">
        <v>35</v>
      </c>
      <c r="G536" s="9" t="s">
        <v>73</v>
      </c>
      <c r="H536" s="5">
        <v>31</v>
      </c>
      <c r="I536" s="6">
        <v>42347</v>
      </c>
      <c r="J536" s="7">
        <v>73854</v>
      </c>
      <c r="K536" s="9" t="s">
        <v>19</v>
      </c>
      <c r="L536" s="9" t="s">
        <v>20</v>
      </c>
      <c r="M536">
        <f t="shared" ca="1" si="16"/>
        <v>9</v>
      </c>
      <c r="N536">
        <f t="shared" ca="1" si="17"/>
        <v>5.5</v>
      </c>
    </row>
    <row r="537" spans="1:14" x14ac:dyDescent="0.3">
      <c r="A537" s="5" t="s">
        <v>401</v>
      </c>
      <c r="B537" s="9" t="s">
        <v>402</v>
      </c>
      <c r="C537" s="9" t="s">
        <v>67</v>
      </c>
      <c r="D537" s="9" t="s">
        <v>15</v>
      </c>
      <c r="E537" s="9" t="s">
        <v>25</v>
      </c>
      <c r="F537" s="9" t="s">
        <v>17</v>
      </c>
      <c r="G537" s="9" t="s">
        <v>73</v>
      </c>
      <c r="H537" s="5">
        <v>32</v>
      </c>
      <c r="I537" s="6">
        <v>44034</v>
      </c>
      <c r="J537" s="7">
        <v>192749</v>
      </c>
      <c r="K537" s="9" t="s">
        <v>19</v>
      </c>
      <c r="L537" s="9" t="s">
        <v>27</v>
      </c>
      <c r="M537">
        <f t="shared" ca="1" si="16"/>
        <v>5</v>
      </c>
      <c r="N537">
        <f t="shared" ca="1" si="17"/>
        <v>3</v>
      </c>
    </row>
    <row r="538" spans="1:14" x14ac:dyDescent="0.3">
      <c r="A538" s="5" t="s">
        <v>785</v>
      </c>
      <c r="B538" s="9" t="s">
        <v>786</v>
      </c>
      <c r="C538" s="9" t="s">
        <v>23</v>
      </c>
      <c r="D538" s="9" t="s">
        <v>24</v>
      </c>
      <c r="E538" s="9" t="s">
        <v>25</v>
      </c>
      <c r="F538" s="9" t="s">
        <v>17</v>
      </c>
      <c r="G538" s="9" t="s">
        <v>36</v>
      </c>
      <c r="H538" s="5">
        <v>34</v>
      </c>
      <c r="I538" s="6">
        <v>44032</v>
      </c>
      <c r="J538" s="7">
        <v>184960</v>
      </c>
      <c r="K538" s="9" t="s">
        <v>19</v>
      </c>
      <c r="L538" s="9" t="s">
        <v>20</v>
      </c>
      <c r="M538">
        <f t="shared" ca="1" si="16"/>
        <v>5</v>
      </c>
      <c r="N538">
        <f t="shared" ca="1" si="17"/>
        <v>3</v>
      </c>
    </row>
    <row r="539" spans="1:14" x14ac:dyDescent="0.3">
      <c r="A539" s="5" t="s">
        <v>1407</v>
      </c>
      <c r="B539" s="9" t="s">
        <v>1408</v>
      </c>
      <c r="C539" s="9" t="s">
        <v>40</v>
      </c>
      <c r="D539" s="9" t="s">
        <v>56</v>
      </c>
      <c r="E539" s="9" t="s">
        <v>16</v>
      </c>
      <c r="F539" s="9" t="s">
        <v>35</v>
      </c>
      <c r="G539" s="9" t="s">
        <v>36</v>
      </c>
      <c r="H539" s="5">
        <v>48</v>
      </c>
      <c r="I539" s="6">
        <v>38168</v>
      </c>
      <c r="J539" s="7">
        <v>120660</v>
      </c>
      <c r="K539" s="9" t="s">
        <v>1310</v>
      </c>
      <c r="L539" s="9" t="s">
        <v>1330</v>
      </c>
      <c r="M539">
        <f t="shared" ca="1" si="16"/>
        <v>21</v>
      </c>
      <c r="N539">
        <f t="shared" ca="1" si="17"/>
        <v>9.5</v>
      </c>
    </row>
    <row r="540" spans="1:14" x14ac:dyDescent="0.3">
      <c r="A540" s="5" t="s">
        <v>578</v>
      </c>
      <c r="B540" s="9" t="s">
        <v>584</v>
      </c>
      <c r="C540" s="9" t="s">
        <v>14</v>
      </c>
      <c r="D540" s="9" t="s">
        <v>24</v>
      </c>
      <c r="E540" s="9" t="s">
        <v>16</v>
      </c>
      <c r="F540" s="9" t="s">
        <v>17</v>
      </c>
      <c r="G540" s="9" t="s">
        <v>73</v>
      </c>
      <c r="H540" s="5">
        <v>39</v>
      </c>
      <c r="I540" s="6">
        <v>43756</v>
      </c>
      <c r="J540" s="7">
        <v>122829</v>
      </c>
      <c r="K540" s="9" t="s">
        <v>19</v>
      </c>
      <c r="L540" s="9" t="s">
        <v>27</v>
      </c>
      <c r="M540">
        <f t="shared" ca="1" si="16"/>
        <v>6</v>
      </c>
      <c r="N540">
        <f t="shared" ca="1" si="17"/>
        <v>4</v>
      </c>
    </row>
    <row r="541" spans="1:14" x14ac:dyDescent="0.3">
      <c r="A541" s="5" t="s">
        <v>578</v>
      </c>
      <c r="B541" s="9" t="s">
        <v>579</v>
      </c>
      <c r="C541" s="9" t="s">
        <v>181</v>
      </c>
      <c r="D541" s="9" t="s">
        <v>79</v>
      </c>
      <c r="E541" s="9" t="s">
        <v>31</v>
      </c>
      <c r="F541" s="9" t="s">
        <v>17</v>
      </c>
      <c r="G541" s="9" t="s">
        <v>26</v>
      </c>
      <c r="H541" s="5">
        <v>26</v>
      </c>
      <c r="I541" s="6">
        <v>44521</v>
      </c>
      <c r="J541" s="7">
        <v>63137</v>
      </c>
      <c r="K541" s="9" t="s">
        <v>19</v>
      </c>
      <c r="L541" s="9" t="s">
        <v>27</v>
      </c>
      <c r="M541">
        <f t="shared" ca="1" si="16"/>
        <v>4</v>
      </c>
      <c r="N541">
        <f t="shared" ca="1" si="17"/>
        <v>3</v>
      </c>
    </row>
    <row r="542" spans="1:14" x14ac:dyDescent="0.3">
      <c r="A542" s="5" t="s">
        <v>1463</v>
      </c>
      <c r="B542" s="9" t="s">
        <v>1590</v>
      </c>
      <c r="C542" s="9" t="s">
        <v>40</v>
      </c>
      <c r="D542" s="9" t="s">
        <v>56</v>
      </c>
      <c r="E542" s="9" t="s">
        <v>25</v>
      </c>
      <c r="F542" s="9" t="s">
        <v>35</v>
      </c>
      <c r="G542" s="9" t="s">
        <v>36</v>
      </c>
      <c r="H542" s="5">
        <v>54</v>
      </c>
      <c r="I542" s="6">
        <v>35500</v>
      </c>
      <c r="J542" s="7">
        <v>128136</v>
      </c>
      <c r="K542" s="9" t="s">
        <v>1310</v>
      </c>
      <c r="L542" s="9" t="s">
        <v>1323</v>
      </c>
      <c r="M542">
        <f t="shared" ca="1" si="16"/>
        <v>28</v>
      </c>
      <c r="N542">
        <f t="shared" ca="1" si="17"/>
        <v>10</v>
      </c>
    </row>
    <row r="543" spans="1:14" x14ac:dyDescent="0.3">
      <c r="A543" s="5" t="s">
        <v>1463</v>
      </c>
      <c r="B543" s="9" t="s">
        <v>1464</v>
      </c>
      <c r="C543" s="9" t="s">
        <v>307</v>
      </c>
      <c r="D543" s="9" t="s">
        <v>15</v>
      </c>
      <c r="E543" s="9" t="s">
        <v>31</v>
      </c>
      <c r="F543" s="9" t="s">
        <v>17</v>
      </c>
      <c r="G543" s="9" t="s">
        <v>36</v>
      </c>
      <c r="H543" s="5">
        <v>30</v>
      </c>
      <c r="I543" s="6">
        <v>43553</v>
      </c>
      <c r="J543" s="7">
        <v>86774</v>
      </c>
      <c r="K543" s="9" t="s">
        <v>1310</v>
      </c>
      <c r="L543" s="9" t="s">
        <v>1330</v>
      </c>
      <c r="M543">
        <f t="shared" ca="1" si="16"/>
        <v>6</v>
      </c>
      <c r="N543">
        <f t="shared" ca="1" si="17"/>
        <v>4</v>
      </c>
    </row>
    <row r="544" spans="1:14" x14ac:dyDescent="0.3">
      <c r="A544" s="5" t="s">
        <v>831</v>
      </c>
      <c r="B544" s="9" t="s">
        <v>832</v>
      </c>
      <c r="C544" s="9" t="s">
        <v>23</v>
      </c>
      <c r="D544" s="9" t="s">
        <v>50</v>
      </c>
      <c r="E544" s="9" t="s">
        <v>31</v>
      </c>
      <c r="F544" s="9" t="s">
        <v>17</v>
      </c>
      <c r="G544" s="9" t="s">
        <v>36</v>
      </c>
      <c r="H544" s="5">
        <v>63</v>
      </c>
      <c r="I544" s="6">
        <v>39147</v>
      </c>
      <c r="J544" s="7">
        <v>193044</v>
      </c>
      <c r="K544" s="9" t="s">
        <v>19</v>
      </c>
      <c r="L544" s="9" t="s">
        <v>45</v>
      </c>
      <c r="M544">
        <f t="shared" ca="1" si="16"/>
        <v>18</v>
      </c>
      <c r="N544">
        <f t="shared" ca="1" si="17"/>
        <v>9.5</v>
      </c>
    </row>
    <row r="545" spans="1:14" x14ac:dyDescent="0.3">
      <c r="A545" s="5" t="s">
        <v>1754</v>
      </c>
      <c r="B545" s="9" t="s">
        <v>1755</v>
      </c>
      <c r="C545" s="9" t="s">
        <v>67</v>
      </c>
      <c r="D545" s="9" t="s">
        <v>79</v>
      </c>
      <c r="E545" s="9" t="s">
        <v>16</v>
      </c>
      <c r="F545" s="9" t="s">
        <v>35</v>
      </c>
      <c r="G545" s="9" t="s">
        <v>73</v>
      </c>
      <c r="H545" s="5">
        <v>39</v>
      </c>
      <c r="I545" s="6">
        <v>40778</v>
      </c>
      <c r="J545" s="7">
        <v>249506</v>
      </c>
      <c r="K545" s="9" t="s">
        <v>1717</v>
      </c>
      <c r="L545" s="9" t="s">
        <v>1721</v>
      </c>
      <c r="M545">
        <f t="shared" ca="1" si="16"/>
        <v>14</v>
      </c>
      <c r="N545">
        <f t="shared" ca="1" si="17"/>
        <v>8</v>
      </c>
    </row>
    <row r="546" spans="1:14" x14ac:dyDescent="0.3">
      <c r="A546" s="5" t="s">
        <v>303</v>
      </c>
      <c r="B546" s="9" t="s">
        <v>304</v>
      </c>
      <c r="C546" s="9" t="s">
        <v>23</v>
      </c>
      <c r="D546" s="9" t="s">
        <v>79</v>
      </c>
      <c r="E546" s="9" t="s">
        <v>41</v>
      </c>
      <c r="F546" s="9" t="s">
        <v>17</v>
      </c>
      <c r="G546" s="9" t="s">
        <v>73</v>
      </c>
      <c r="H546" s="5">
        <v>49</v>
      </c>
      <c r="I546" s="6">
        <v>35887</v>
      </c>
      <c r="J546" s="7">
        <v>160832</v>
      </c>
      <c r="K546" s="9" t="s">
        <v>19</v>
      </c>
      <c r="L546" s="9" t="s">
        <v>37</v>
      </c>
      <c r="M546">
        <f t="shared" ca="1" si="16"/>
        <v>27</v>
      </c>
      <c r="N546">
        <f t="shared" ca="1" si="17"/>
        <v>10</v>
      </c>
    </row>
    <row r="547" spans="1:14" x14ac:dyDescent="0.3">
      <c r="A547" s="5" t="s">
        <v>986</v>
      </c>
      <c r="B547" s="9" t="s">
        <v>987</v>
      </c>
      <c r="C547" s="9" t="s">
        <v>234</v>
      </c>
      <c r="D547" s="9" t="s">
        <v>15</v>
      </c>
      <c r="E547" s="9" t="s">
        <v>25</v>
      </c>
      <c r="F547" s="9" t="s">
        <v>35</v>
      </c>
      <c r="G547" s="9" t="s">
        <v>26</v>
      </c>
      <c r="H547" s="5">
        <v>48</v>
      </c>
      <c r="I547" s="6">
        <v>37298</v>
      </c>
      <c r="J547" s="7">
        <v>43080</v>
      </c>
      <c r="K547" s="9" t="s">
        <v>19</v>
      </c>
      <c r="L547" s="9" t="s">
        <v>51</v>
      </c>
      <c r="M547">
        <f t="shared" ca="1" si="16"/>
        <v>23</v>
      </c>
      <c r="N547">
        <f t="shared" ca="1" si="17"/>
        <v>9.5</v>
      </c>
    </row>
    <row r="548" spans="1:14" x14ac:dyDescent="0.3">
      <c r="A548" s="5" t="s">
        <v>1916</v>
      </c>
      <c r="B548" s="9" t="s">
        <v>1917</v>
      </c>
      <c r="C548" s="9" t="s">
        <v>14</v>
      </c>
      <c r="D548" s="9" t="s">
        <v>79</v>
      </c>
      <c r="E548" s="9" t="s">
        <v>25</v>
      </c>
      <c r="F548" s="9" t="s">
        <v>17</v>
      </c>
      <c r="G548" s="9" t="s">
        <v>73</v>
      </c>
      <c r="H548" s="5">
        <v>45</v>
      </c>
      <c r="I548" s="6">
        <v>43305</v>
      </c>
      <c r="J548" s="7">
        <v>148991</v>
      </c>
      <c r="K548" s="9" t="s">
        <v>1717</v>
      </c>
      <c r="L548" s="9" t="s">
        <v>1736</v>
      </c>
      <c r="M548">
        <f t="shared" ca="1" si="16"/>
        <v>7</v>
      </c>
      <c r="N548">
        <f t="shared" ca="1" si="17"/>
        <v>4</v>
      </c>
    </row>
    <row r="549" spans="1:14" x14ac:dyDescent="0.3">
      <c r="A549" s="5" t="s">
        <v>649</v>
      </c>
      <c r="B549" s="9" t="s">
        <v>650</v>
      </c>
      <c r="C549" s="9" t="s">
        <v>14</v>
      </c>
      <c r="D549" s="9" t="s">
        <v>79</v>
      </c>
      <c r="E549" s="9" t="s">
        <v>41</v>
      </c>
      <c r="F549" s="9" t="s">
        <v>35</v>
      </c>
      <c r="G549" s="9" t="s">
        <v>18</v>
      </c>
      <c r="H549" s="5">
        <v>51</v>
      </c>
      <c r="I549" s="6">
        <v>36770</v>
      </c>
      <c r="J549" s="7">
        <v>157487</v>
      </c>
      <c r="K549" s="9" t="s">
        <v>19</v>
      </c>
      <c r="L549" s="9" t="s">
        <v>37</v>
      </c>
      <c r="M549">
        <f t="shared" ca="1" si="16"/>
        <v>25</v>
      </c>
      <c r="N549">
        <f t="shared" ca="1" si="17"/>
        <v>10</v>
      </c>
    </row>
    <row r="550" spans="1:14" x14ac:dyDescent="0.3">
      <c r="A550" s="5" t="s">
        <v>182</v>
      </c>
      <c r="B550" s="9" t="s">
        <v>183</v>
      </c>
      <c r="C550" s="9" t="s">
        <v>184</v>
      </c>
      <c r="D550" s="9" t="s">
        <v>56</v>
      </c>
      <c r="E550" s="9" t="s">
        <v>16</v>
      </c>
      <c r="F550" s="9" t="s">
        <v>35</v>
      </c>
      <c r="G550" s="9" t="s">
        <v>36</v>
      </c>
      <c r="H550" s="5">
        <v>53</v>
      </c>
      <c r="I550" s="6">
        <v>37576</v>
      </c>
      <c r="J550" s="7">
        <v>95998</v>
      </c>
      <c r="K550" s="9" t="s">
        <v>19</v>
      </c>
      <c r="L550" s="9" t="s">
        <v>20</v>
      </c>
      <c r="M550">
        <f t="shared" ca="1" si="16"/>
        <v>23</v>
      </c>
      <c r="N550">
        <f t="shared" ca="1" si="17"/>
        <v>9.5</v>
      </c>
    </row>
    <row r="551" spans="1:14" x14ac:dyDescent="0.3">
      <c r="A551" s="5" t="s">
        <v>1765</v>
      </c>
      <c r="B551" s="9" t="s">
        <v>1766</v>
      </c>
      <c r="C551" s="9" t="s">
        <v>44</v>
      </c>
      <c r="D551" s="9" t="s">
        <v>68</v>
      </c>
      <c r="E551" s="9" t="s">
        <v>25</v>
      </c>
      <c r="F551" s="9" t="s">
        <v>35</v>
      </c>
      <c r="G551" s="9" t="s">
        <v>73</v>
      </c>
      <c r="H551" s="5">
        <v>38</v>
      </c>
      <c r="I551" s="6">
        <v>42492</v>
      </c>
      <c r="J551" s="7">
        <v>50784</v>
      </c>
      <c r="K551" s="9" t="s">
        <v>1717</v>
      </c>
      <c r="L551" s="9" t="s">
        <v>1721</v>
      </c>
      <c r="M551">
        <f t="shared" ca="1" si="16"/>
        <v>9</v>
      </c>
      <c r="N551">
        <f t="shared" ca="1" si="17"/>
        <v>5.5</v>
      </c>
    </row>
    <row r="552" spans="1:14" x14ac:dyDescent="0.3">
      <c r="A552" s="5" t="s">
        <v>1782</v>
      </c>
      <c r="B552" s="9" t="s">
        <v>1783</v>
      </c>
      <c r="C552" s="9" t="s">
        <v>14</v>
      </c>
      <c r="D552" s="9" t="s">
        <v>24</v>
      </c>
      <c r="E552" s="9" t="s">
        <v>31</v>
      </c>
      <c r="F552" s="9" t="s">
        <v>17</v>
      </c>
      <c r="G552" s="9" t="s">
        <v>73</v>
      </c>
      <c r="H552" s="5">
        <v>37</v>
      </c>
      <c r="I552" s="6">
        <v>41329</v>
      </c>
      <c r="J552" s="7">
        <v>157474</v>
      </c>
      <c r="K552" s="9" t="s">
        <v>1717</v>
      </c>
      <c r="L552" s="9" t="s">
        <v>1721</v>
      </c>
      <c r="M552">
        <f t="shared" ca="1" si="16"/>
        <v>12</v>
      </c>
      <c r="N552">
        <f t="shared" ca="1" si="17"/>
        <v>8</v>
      </c>
    </row>
    <row r="553" spans="1:14" x14ac:dyDescent="0.3">
      <c r="A553" s="5" t="s">
        <v>353</v>
      </c>
      <c r="B553" s="9" t="s">
        <v>354</v>
      </c>
      <c r="C553" s="9" t="s">
        <v>142</v>
      </c>
      <c r="D553" s="9" t="s">
        <v>60</v>
      </c>
      <c r="E553" s="9" t="s">
        <v>41</v>
      </c>
      <c r="F553" s="9" t="s">
        <v>35</v>
      </c>
      <c r="G553" s="9" t="s">
        <v>36</v>
      </c>
      <c r="H553" s="5">
        <v>45</v>
      </c>
      <c r="I553" s="6">
        <v>36993</v>
      </c>
      <c r="J553" s="7">
        <v>95743</v>
      </c>
      <c r="K553" s="9" t="s">
        <v>19</v>
      </c>
      <c r="L553" s="9" t="s">
        <v>51</v>
      </c>
      <c r="M553">
        <f t="shared" ca="1" si="16"/>
        <v>24</v>
      </c>
      <c r="N553">
        <f t="shared" ca="1" si="17"/>
        <v>9.5</v>
      </c>
    </row>
    <row r="554" spans="1:14" x14ac:dyDescent="0.3">
      <c r="A554" s="5" t="s">
        <v>990</v>
      </c>
      <c r="B554" s="9" t="s">
        <v>991</v>
      </c>
      <c r="C554" s="9" t="s">
        <v>23</v>
      </c>
      <c r="D554" s="9" t="s">
        <v>79</v>
      </c>
      <c r="E554" s="9" t="s">
        <v>16</v>
      </c>
      <c r="F554" s="9" t="s">
        <v>35</v>
      </c>
      <c r="G554" s="9" t="s">
        <v>73</v>
      </c>
      <c r="H554" s="5">
        <v>39</v>
      </c>
      <c r="I554" s="6">
        <v>41635</v>
      </c>
      <c r="J554" s="7">
        <v>165756</v>
      </c>
      <c r="K554" s="9" t="s">
        <v>19</v>
      </c>
      <c r="L554" s="9" t="s">
        <v>76</v>
      </c>
      <c r="M554">
        <f t="shared" ca="1" si="16"/>
        <v>11</v>
      </c>
      <c r="N554">
        <f t="shared" ca="1" si="17"/>
        <v>5.5</v>
      </c>
    </row>
    <row r="555" spans="1:14" x14ac:dyDescent="0.3">
      <c r="A555" s="5" t="s">
        <v>874</v>
      </c>
      <c r="B555" s="9" t="s">
        <v>875</v>
      </c>
      <c r="C555" s="9" t="s">
        <v>67</v>
      </c>
      <c r="D555" s="9" t="s">
        <v>60</v>
      </c>
      <c r="E555" s="9" t="s">
        <v>31</v>
      </c>
      <c r="F555" s="9" t="s">
        <v>35</v>
      </c>
      <c r="G555" s="9" t="s">
        <v>36</v>
      </c>
      <c r="H555" s="5">
        <v>63</v>
      </c>
      <c r="I555" s="6">
        <v>41428</v>
      </c>
      <c r="J555" s="7">
        <v>254289</v>
      </c>
      <c r="K555" s="9" t="s">
        <v>19</v>
      </c>
      <c r="L555" s="9" t="s">
        <v>27</v>
      </c>
      <c r="M555">
        <f t="shared" ca="1" si="16"/>
        <v>12</v>
      </c>
      <c r="N555">
        <f t="shared" ca="1" si="17"/>
        <v>8</v>
      </c>
    </row>
    <row r="556" spans="1:14" x14ac:dyDescent="0.3">
      <c r="A556" s="5" t="s">
        <v>28</v>
      </c>
      <c r="B556" s="9" t="s">
        <v>29</v>
      </c>
      <c r="C556" s="9" t="s">
        <v>30</v>
      </c>
      <c r="D556" s="9" t="s">
        <v>15</v>
      </c>
      <c r="E556" s="9" t="s">
        <v>31</v>
      </c>
      <c r="F556" s="9" t="s">
        <v>17</v>
      </c>
      <c r="G556" s="9" t="s">
        <v>26</v>
      </c>
      <c r="H556" s="5">
        <v>26</v>
      </c>
      <c r="I556" s="6">
        <v>43735</v>
      </c>
      <c r="J556" s="7">
        <v>84913</v>
      </c>
      <c r="K556" s="9" t="s">
        <v>19</v>
      </c>
      <c r="L556" s="9" t="s">
        <v>27</v>
      </c>
      <c r="M556">
        <f t="shared" ca="1" si="16"/>
        <v>6</v>
      </c>
      <c r="N556">
        <f t="shared" ca="1" si="17"/>
        <v>4</v>
      </c>
    </row>
    <row r="557" spans="1:14" x14ac:dyDescent="0.3">
      <c r="A557" s="5" t="s">
        <v>1274</v>
      </c>
      <c r="B557" s="9" t="s">
        <v>1275</v>
      </c>
      <c r="C557" s="9" t="s">
        <v>234</v>
      </c>
      <c r="D557" s="9" t="s">
        <v>15</v>
      </c>
      <c r="E557" s="9" t="s">
        <v>16</v>
      </c>
      <c r="F557" s="9" t="s">
        <v>35</v>
      </c>
      <c r="G557" s="9" t="s">
        <v>73</v>
      </c>
      <c r="H557" s="5">
        <v>45</v>
      </c>
      <c r="I557" s="6">
        <v>37126</v>
      </c>
      <c r="J557" s="7">
        <v>54994</v>
      </c>
      <c r="K557" s="9" t="s">
        <v>19</v>
      </c>
      <c r="L557" s="9" t="s">
        <v>76</v>
      </c>
      <c r="M557">
        <f t="shared" ca="1" si="16"/>
        <v>24</v>
      </c>
      <c r="N557">
        <f t="shared" ca="1" si="17"/>
        <v>9.5</v>
      </c>
    </row>
    <row r="558" spans="1:14" x14ac:dyDescent="0.3">
      <c r="A558" s="5" t="s">
        <v>1439</v>
      </c>
      <c r="B558" s="9" t="s">
        <v>1440</v>
      </c>
      <c r="C558" s="9" t="s">
        <v>142</v>
      </c>
      <c r="D558" s="9" t="s">
        <v>60</v>
      </c>
      <c r="E558" s="9" t="s">
        <v>25</v>
      </c>
      <c r="F558" s="9" t="s">
        <v>17</v>
      </c>
      <c r="G558" s="9" t="s">
        <v>36</v>
      </c>
      <c r="H558" s="5">
        <v>65</v>
      </c>
      <c r="I558" s="6">
        <v>38792</v>
      </c>
      <c r="J558" s="7">
        <v>83756</v>
      </c>
      <c r="K558" s="9" t="s">
        <v>1310</v>
      </c>
      <c r="L558" s="9" t="s">
        <v>1316</v>
      </c>
      <c r="M558">
        <f t="shared" ca="1" si="16"/>
        <v>19</v>
      </c>
      <c r="N558">
        <f t="shared" ca="1" si="17"/>
        <v>9.5</v>
      </c>
    </row>
    <row r="559" spans="1:14" x14ac:dyDescent="0.3">
      <c r="A559" s="5" t="s">
        <v>796</v>
      </c>
      <c r="B559" s="9" t="s">
        <v>797</v>
      </c>
      <c r="C559" s="9" t="s">
        <v>40</v>
      </c>
      <c r="D559" s="9" t="s">
        <v>56</v>
      </c>
      <c r="E559" s="9" t="s">
        <v>25</v>
      </c>
      <c r="F559" s="9" t="s">
        <v>17</v>
      </c>
      <c r="G559" s="9" t="s">
        <v>73</v>
      </c>
      <c r="H559" s="5">
        <v>55</v>
      </c>
      <c r="I559" s="6">
        <v>40233</v>
      </c>
      <c r="J559" s="7">
        <v>102839</v>
      </c>
      <c r="K559" s="9" t="s">
        <v>19</v>
      </c>
      <c r="L559" s="9" t="s">
        <v>45</v>
      </c>
      <c r="M559">
        <f t="shared" ca="1" si="16"/>
        <v>15</v>
      </c>
      <c r="N559">
        <f t="shared" ca="1" si="17"/>
        <v>8</v>
      </c>
    </row>
    <row r="560" spans="1:14" x14ac:dyDescent="0.3">
      <c r="A560" s="5" t="s">
        <v>1778</v>
      </c>
      <c r="B560" s="9" t="s">
        <v>1779</v>
      </c>
      <c r="C560" s="9" t="s">
        <v>14</v>
      </c>
      <c r="D560" s="9" t="s">
        <v>79</v>
      </c>
      <c r="E560" s="9" t="s">
        <v>41</v>
      </c>
      <c r="F560" s="9" t="s">
        <v>35</v>
      </c>
      <c r="G560" s="9" t="s">
        <v>73</v>
      </c>
      <c r="H560" s="5">
        <v>55</v>
      </c>
      <c r="I560" s="6">
        <v>41594</v>
      </c>
      <c r="J560" s="7">
        <v>124129</v>
      </c>
      <c r="K560" s="9" t="s">
        <v>1717</v>
      </c>
      <c r="L560" s="9" t="s">
        <v>1736</v>
      </c>
      <c r="M560">
        <f t="shared" ca="1" si="16"/>
        <v>12</v>
      </c>
      <c r="N560">
        <f t="shared" ca="1" si="17"/>
        <v>8</v>
      </c>
    </row>
    <row r="561" spans="1:14" x14ac:dyDescent="0.3">
      <c r="A561" s="5" t="s">
        <v>1604</v>
      </c>
      <c r="B561" s="9" t="s">
        <v>1605</v>
      </c>
      <c r="C561" s="9" t="s">
        <v>40</v>
      </c>
      <c r="D561" s="9" t="s">
        <v>68</v>
      </c>
      <c r="E561" s="9" t="s">
        <v>31</v>
      </c>
      <c r="F561" s="9" t="s">
        <v>17</v>
      </c>
      <c r="G561" s="9" t="s">
        <v>36</v>
      </c>
      <c r="H561" s="5">
        <v>50</v>
      </c>
      <c r="I561" s="6">
        <v>40979</v>
      </c>
      <c r="J561" s="7">
        <v>108134</v>
      </c>
      <c r="K561" s="9" t="s">
        <v>1310</v>
      </c>
      <c r="L561" s="9" t="s">
        <v>1316</v>
      </c>
      <c r="M561">
        <f t="shared" ca="1" si="16"/>
        <v>13</v>
      </c>
      <c r="N561">
        <f t="shared" ca="1" si="17"/>
        <v>8</v>
      </c>
    </row>
    <row r="562" spans="1:14" x14ac:dyDescent="0.3">
      <c r="A562" s="5" t="s">
        <v>275</v>
      </c>
      <c r="B562" s="9" t="s">
        <v>1026</v>
      </c>
      <c r="C562" s="9" t="s">
        <v>211</v>
      </c>
      <c r="D562" s="9" t="s">
        <v>15</v>
      </c>
      <c r="E562" s="9" t="s">
        <v>16</v>
      </c>
      <c r="F562" s="9" t="s">
        <v>35</v>
      </c>
      <c r="G562" s="9" t="s">
        <v>36</v>
      </c>
      <c r="H562" s="5">
        <v>55</v>
      </c>
      <c r="I562" s="6">
        <v>42683</v>
      </c>
      <c r="J562" s="7">
        <v>87851</v>
      </c>
      <c r="K562" s="9" t="s">
        <v>1310</v>
      </c>
      <c r="L562" s="9" t="s">
        <v>1311</v>
      </c>
      <c r="M562">
        <f t="shared" ca="1" si="16"/>
        <v>9</v>
      </c>
      <c r="N562">
        <f t="shared" ca="1" si="17"/>
        <v>5.5</v>
      </c>
    </row>
    <row r="563" spans="1:14" x14ac:dyDescent="0.3">
      <c r="A563" s="5" t="s">
        <v>275</v>
      </c>
      <c r="B563" s="9" t="s">
        <v>276</v>
      </c>
      <c r="C563" s="9" t="s">
        <v>277</v>
      </c>
      <c r="D563" s="9" t="s">
        <v>79</v>
      </c>
      <c r="E563" s="9" t="s">
        <v>16</v>
      </c>
      <c r="F563" s="9" t="s">
        <v>17</v>
      </c>
      <c r="G563" s="9" t="s">
        <v>26</v>
      </c>
      <c r="H563" s="5">
        <v>30</v>
      </c>
      <c r="I563" s="6">
        <v>42722</v>
      </c>
      <c r="J563" s="7">
        <v>89458</v>
      </c>
      <c r="K563" s="9" t="s">
        <v>19</v>
      </c>
      <c r="L563" s="9" t="s">
        <v>51</v>
      </c>
      <c r="M563">
        <f t="shared" ca="1" si="16"/>
        <v>8</v>
      </c>
      <c r="N563">
        <f t="shared" ca="1" si="17"/>
        <v>5.5</v>
      </c>
    </row>
    <row r="564" spans="1:14" x14ac:dyDescent="0.3">
      <c r="A564" s="5" t="s">
        <v>212</v>
      </c>
      <c r="B564" s="9" t="s">
        <v>213</v>
      </c>
      <c r="C564" s="9" t="s">
        <v>23</v>
      </c>
      <c r="D564" s="9" t="s">
        <v>79</v>
      </c>
      <c r="E564" s="9" t="s">
        <v>16</v>
      </c>
      <c r="F564" s="9" t="s">
        <v>17</v>
      </c>
      <c r="G564" s="9" t="s">
        <v>36</v>
      </c>
      <c r="H564" s="5">
        <v>41</v>
      </c>
      <c r="I564" s="6">
        <v>43322</v>
      </c>
      <c r="J564" s="7">
        <v>171173</v>
      </c>
      <c r="K564" s="9" t="s">
        <v>19</v>
      </c>
      <c r="L564" s="9" t="s">
        <v>76</v>
      </c>
      <c r="M564">
        <f t="shared" ca="1" si="16"/>
        <v>7</v>
      </c>
      <c r="N564">
        <f t="shared" ca="1" si="17"/>
        <v>4</v>
      </c>
    </row>
    <row r="565" spans="1:14" x14ac:dyDescent="0.3">
      <c r="A565" s="5" t="s">
        <v>256</v>
      </c>
      <c r="B565" s="9" t="s">
        <v>257</v>
      </c>
      <c r="C565" s="9" t="s">
        <v>96</v>
      </c>
      <c r="D565" s="9" t="s">
        <v>15</v>
      </c>
      <c r="E565" s="9" t="s">
        <v>31</v>
      </c>
      <c r="F565" s="9" t="s">
        <v>17</v>
      </c>
      <c r="G565" s="9" t="s">
        <v>36</v>
      </c>
      <c r="H565" s="5">
        <v>62</v>
      </c>
      <c r="I565" s="6">
        <v>39887</v>
      </c>
      <c r="J565" s="7">
        <v>82839</v>
      </c>
      <c r="K565" s="9" t="s">
        <v>19</v>
      </c>
      <c r="L565" s="9" t="s">
        <v>45</v>
      </c>
      <c r="M565">
        <f t="shared" ca="1" si="16"/>
        <v>16</v>
      </c>
      <c r="N565">
        <f t="shared" ca="1" si="17"/>
        <v>8</v>
      </c>
    </row>
    <row r="566" spans="1:14" x14ac:dyDescent="0.3">
      <c r="A566" s="5" t="s">
        <v>775</v>
      </c>
      <c r="B566" s="9" t="s">
        <v>776</v>
      </c>
      <c r="C566" s="9" t="s">
        <v>136</v>
      </c>
      <c r="D566" s="9" t="s">
        <v>60</v>
      </c>
      <c r="E566" s="9" t="s">
        <v>16</v>
      </c>
      <c r="F566" s="9" t="s">
        <v>17</v>
      </c>
      <c r="G566" s="9" t="s">
        <v>36</v>
      </c>
      <c r="H566" s="5">
        <v>30</v>
      </c>
      <c r="I566" s="6">
        <v>42322</v>
      </c>
      <c r="J566" s="7">
        <v>77442</v>
      </c>
      <c r="K566" s="9" t="s">
        <v>19</v>
      </c>
      <c r="L566" s="9" t="s">
        <v>76</v>
      </c>
      <c r="M566">
        <f t="shared" ca="1" si="16"/>
        <v>10</v>
      </c>
      <c r="N566">
        <f t="shared" ca="1" si="17"/>
        <v>5.5</v>
      </c>
    </row>
    <row r="567" spans="1:14" x14ac:dyDescent="0.3">
      <c r="A567" s="5" t="s">
        <v>773</v>
      </c>
      <c r="B567" s="9" t="s">
        <v>774</v>
      </c>
      <c r="C567" s="9" t="s">
        <v>14</v>
      </c>
      <c r="D567" s="9" t="s">
        <v>24</v>
      </c>
      <c r="E567" s="9" t="s">
        <v>25</v>
      </c>
      <c r="F567" s="9" t="s">
        <v>35</v>
      </c>
      <c r="G567" s="9" t="s">
        <v>73</v>
      </c>
      <c r="H567" s="5">
        <v>44</v>
      </c>
      <c r="I567" s="6">
        <v>43685</v>
      </c>
      <c r="J567" s="7">
        <v>130133</v>
      </c>
      <c r="K567" s="9" t="s">
        <v>19</v>
      </c>
      <c r="L567" s="9" t="s">
        <v>51</v>
      </c>
      <c r="M567">
        <f t="shared" ca="1" si="16"/>
        <v>6</v>
      </c>
      <c r="N567">
        <f t="shared" ca="1" si="17"/>
        <v>4</v>
      </c>
    </row>
    <row r="568" spans="1:14" x14ac:dyDescent="0.3">
      <c r="A568" s="5" t="s">
        <v>773</v>
      </c>
      <c r="B568" s="9" t="s">
        <v>815</v>
      </c>
      <c r="C568" s="9" t="s">
        <v>44</v>
      </c>
      <c r="D568" s="9" t="s">
        <v>79</v>
      </c>
      <c r="E568" s="9" t="s">
        <v>25</v>
      </c>
      <c r="F568" s="9" t="s">
        <v>17</v>
      </c>
      <c r="G568" s="9" t="s">
        <v>26</v>
      </c>
      <c r="H568" s="5">
        <v>33</v>
      </c>
      <c r="I568" s="6">
        <v>41742</v>
      </c>
      <c r="J568" s="7">
        <v>46878</v>
      </c>
      <c r="K568" s="9" t="s">
        <v>19</v>
      </c>
      <c r="L568" s="9" t="s">
        <v>45</v>
      </c>
      <c r="M568">
        <f t="shared" ca="1" si="16"/>
        <v>11</v>
      </c>
      <c r="N568">
        <f t="shared" ca="1" si="17"/>
        <v>5.5</v>
      </c>
    </row>
    <row r="569" spans="1:14" x14ac:dyDescent="0.3">
      <c r="A569" s="5" t="s">
        <v>531</v>
      </c>
      <c r="B569" s="9" t="s">
        <v>532</v>
      </c>
      <c r="C569" s="9" t="s">
        <v>96</v>
      </c>
      <c r="D569" s="9" t="s">
        <v>15</v>
      </c>
      <c r="E569" s="9" t="s">
        <v>16</v>
      </c>
      <c r="F569" s="9" t="s">
        <v>35</v>
      </c>
      <c r="G569" s="9" t="s">
        <v>26</v>
      </c>
      <c r="H569" s="5">
        <v>62</v>
      </c>
      <c r="I569" s="6">
        <v>36996</v>
      </c>
      <c r="J569" s="7">
        <v>80921</v>
      </c>
      <c r="K569" s="9" t="s">
        <v>19</v>
      </c>
      <c r="L569" s="9" t="s">
        <v>76</v>
      </c>
      <c r="M569">
        <f t="shared" ca="1" si="16"/>
        <v>24</v>
      </c>
      <c r="N569">
        <f t="shared" ca="1" si="17"/>
        <v>9.5</v>
      </c>
    </row>
    <row r="570" spans="1:14" x14ac:dyDescent="0.3">
      <c r="A570" s="5" t="s">
        <v>1335</v>
      </c>
      <c r="B570" s="9" t="s">
        <v>1336</v>
      </c>
      <c r="C570" s="9" t="s">
        <v>14</v>
      </c>
      <c r="D570" s="9" t="s">
        <v>15</v>
      </c>
      <c r="E570" s="9" t="s">
        <v>31</v>
      </c>
      <c r="F570" s="9" t="s">
        <v>17</v>
      </c>
      <c r="G570" s="9" t="s">
        <v>36</v>
      </c>
      <c r="H570" s="5">
        <v>25</v>
      </c>
      <c r="I570" s="6">
        <v>44379</v>
      </c>
      <c r="J570" s="7">
        <v>125633</v>
      </c>
      <c r="K570" s="9" t="s">
        <v>1310</v>
      </c>
      <c r="L570" s="9" t="s">
        <v>1323</v>
      </c>
      <c r="M570">
        <f t="shared" ca="1" si="16"/>
        <v>4</v>
      </c>
      <c r="N570">
        <f t="shared" ca="1" si="17"/>
        <v>3</v>
      </c>
    </row>
    <row r="571" spans="1:14" x14ac:dyDescent="0.3">
      <c r="A571" s="5" t="s">
        <v>1359</v>
      </c>
      <c r="B571" s="9" t="s">
        <v>1360</v>
      </c>
      <c r="C571" s="9" t="s">
        <v>40</v>
      </c>
      <c r="D571" s="9" t="s">
        <v>24</v>
      </c>
      <c r="E571" s="9" t="s">
        <v>41</v>
      </c>
      <c r="F571" s="9" t="s">
        <v>35</v>
      </c>
      <c r="G571" s="9" t="s">
        <v>36</v>
      </c>
      <c r="H571" s="5">
        <v>39</v>
      </c>
      <c r="I571" s="6">
        <v>40192</v>
      </c>
      <c r="J571" s="7">
        <v>103504</v>
      </c>
      <c r="K571" s="9" t="s">
        <v>1310</v>
      </c>
      <c r="L571" s="9" t="s">
        <v>1330</v>
      </c>
      <c r="M571">
        <f t="shared" ca="1" si="16"/>
        <v>15</v>
      </c>
      <c r="N571">
        <f t="shared" ca="1" si="17"/>
        <v>8</v>
      </c>
    </row>
    <row r="572" spans="1:14" x14ac:dyDescent="0.3">
      <c r="A572" s="5" t="s">
        <v>192</v>
      </c>
      <c r="B572" s="9" t="s">
        <v>193</v>
      </c>
      <c r="C572" s="9" t="s">
        <v>30</v>
      </c>
      <c r="D572" s="9" t="s">
        <v>15</v>
      </c>
      <c r="E572" s="9" t="s">
        <v>25</v>
      </c>
      <c r="F572" s="9" t="s">
        <v>17</v>
      </c>
      <c r="G572" s="9" t="s">
        <v>36</v>
      </c>
      <c r="H572" s="5">
        <v>48</v>
      </c>
      <c r="I572" s="6">
        <v>39091</v>
      </c>
      <c r="J572" s="7">
        <v>74546</v>
      </c>
      <c r="K572" s="9" t="s">
        <v>19</v>
      </c>
      <c r="L572" s="9" t="s">
        <v>20</v>
      </c>
      <c r="M572">
        <f t="shared" ca="1" si="16"/>
        <v>18</v>
      </c>
      <c r="N572">
        <f t="shared" ca="1" si="17"/>
        <v>9.5</v>
      </c>
    </row>
    <row r="573" spans="1:14" x14ac:dyDescent="0.3">
      <c r="A573" s="5" t="s">
        <v>896</v>
      </c>
      <c r="B573" s="9" t="s">
        <v>897</v>
      </c>
      <c r="C573" s="9" t="s">
        <v>59</v>
      </c>
      <c r="D573" s="9" t="s">
        <v>60</v>
      </c>
      <c r="E573" s="9" t="s">
        <v>41</v>
      </c>
      <c r="F573" s="9" t="s">
        <v>17</v>
      </c>
      <c r="G573" s="9" t="s">
        <v>26</v>
      </c>
      <c r="H573" s="5">
        <v>56</v>
      </c>
      <c r="I573" s="6">
        <v>42291</v>
      </c>
      <c r="J573" s="7">
        <v>76272</v>
      </c>
      <c r="K573" s="9" t="s">
        <v>19</v>
      </c>
      <c r="L573" s="9" t="s">
        <v>45</v>
      </c>
      <c r="M573">
        <f t="shared" ca="1" si="16"/>
        <v>10</v>
      </c>
      <c r="N573">
        <f t="shared" ca="1" si="17"/>
        <v>5.5</v>
      </c>
    </row>
    <row r="574" spans="1:14" x14ac:dyDescent="0.3">
      <c r="A574" s="5" t="s">
        <v>1588</v>
      </c>
      <c r="B574" s="9" t="s">
        <v>1589</v>
      </c>
      <c r="C574" s="9" t="s">
        <v>34</v>
      </c>
      <c r="D574" s="9" t="s">
        <v>50</v>
      </c>
      <c r="E574" s="9" t="s">
        <v>31</v>
      </c>
      <c r="F574" s="9" t="s">
        <v>17</v>
      </c>
      <c r="G574" s="9" t="s">
        <v>36</v>
      </c>
      <c r="H574" s="5">
        <v>43</v>
      </c>
      <c r="I574" s="6">
        <v>41662</v>
      </c>
      <c r="J574" s="7">
        <v>92940</v>
      </c>
      <c r="K574" s="9" t="s">
        <v>1310</v>
      </c>
      <c r="L574" s="9" t="s">
        <v>1330</v>
      </c>
      <c r="M574">
        <f t="shared" ca="1" si="16"/>
        <v>11</v>
      </c>
      <c r="N574">
        <f t="shared" ca="1" si="17"/>
        <v>5.5</v>
      </c>
    </row>
    <row r="575" spans="1:14" x14ac:dyDescent="0.3">
      <c r="A575" s="5" t="s">
        <v>888</v>
      </c>
      <c r="B575" s="9" t="s">
        <v>889</v>
      </c>
      <c r="C575" s="9" t="s">
        <v>23</v>
      </c>
      <c r="D575" s="9" t="s">
        <v>56</v>
      </c>
      <c r="E575" s="9" t="s">
        <v>41</v>
      </c>
      <c r="F575" s="9" t="s">
        <v>35</v>
      </c>
      <c r="G575" s="9" t="s">
        <v>26</v>
      </c>
      <c r="H575" s="5">
        <v>60</v>
      </c>
      <c r="I575" s="6">
        <v>42108</v>
      </c>
      <c r="J575" s="7">
        <v>155788</v>
      </c>
      <c r="K575" s="9" t="s">
        <v>19</v>
      </c>
      <c r="L575" s="9" t="s">
        <v>20</v>
      </c>
      <c r="M575">
        <f t="shared" ca="1" si="16"/>
        <v>10</v>
      </c>
      <c r="N575">
        <f t="shared" ca="1" si="17"/>
        <v>5.5</v>
      </c>
    </row>
    <row r="576" spans="1:14" x14ac:dyDescent="0.3">
      <c r="A576" s="5" t="s">
        <v>1972</v>
      </c>
      <c r="B576" s="9" t="s">
        <v>1973</v>
      </c>
      <c r="C576" s="9" t="s">
        <v>14</v>
      </c>
      <c r="D576" s="9" t="s">
        <v>15</v>
      </c>
      <c r="E576" s="9" t="s">
        <v>25</v>
      </c>
      <c r="F576" s="9" t="s">
        <v>35</v>
      </c>
      <c r="G576" s="9" t="s">
        <v>73</v>
      </c>
      <c r="H576" s="5">
        <v>33</v>
      </c>
      <c r="I576" s="6">
        <v>41267</v>
      </c>
      <c r="J576" s="7">
        <v>132544</v>
      </c>
      <c r="K576" s="9" t="s">
        <v>1717</v>
      </c>
      <c r="L576" s="9" t="s">
        <v>1721</v>
      </c>
      <c r="M576">
        <f t="shared" ca="1" si="16"/>
        <v>12</v>
      </c>
      <c r="N576">
        <f t="shared" ca="1" si="17"/>
        <v>8</v>
      </c>
    </row>
    <row r="577" spans="1:14" x14ac:dyDescent="0.3">
      <c r="A577" s="5" t="s">
        <v>1961</v>
      </c>
      <c r="B577" s="9" t="s">
        <v>1962</v>
      </c>
      <c r="C577" s="9" t="s">
        <v>23</v>
      </c>
      <c r="D577" s="9" t="s">
        <v>68</v>
      </c>
      <c r="E577" s="9" t="s">
        <v>16</v>
      </c>
      <c r="F577" s="9" t="s">
        <v>17</v>
      </c>
      <c r="G577" s="9" t="s">
        <v>73</v>
      </c>
      <c r="H577" s="5">
        <v>43</v>
      </c>
      <c r="I577" s="6">
        <v>41928</v>
      </c>
      <c r="J577" s="7">
        <v>171360</v>
      </c>
      <c r="K577" s="9" t="s">
        <v>1717</v>
      </c>
      <c r="L577" s="9" t="s">
        <v>1718</v>
      </c>
      <c r="M577">
        <f t="shared" ca="1" si="16"/>
        <v>11</v>
      </c>
      <c r="N577">
        <f t="shared" ca="1" si="17"/>
        <v>5.5</v>
      </c>
    </row>
    <row r="578" spans="1:14" x14ac:dyDescent="0.3">
      <c r="A578" s="5" t="s">
        <v>1837</v>
      </c>
      <c r="B578" s="9" t="s">
        <v>1838</v>
      </c>
      <c r="C578" s="9" t="s">
        <v>23</v>
      </c>
      <c r="D578" s="9" t="s">
        <v>24</v>
      </c>
      <c r="E578" s="9" t="s">
        <v>16</v>
      </c>
      <c r="F578" s="9" t="s">
        <v>17</v>
      </c>
      <c r="G578" s="9" t="s">
        <v>73</v>
      </c>
      <c r="H578" s="5">
        <v>65</v>
      </c>
      <c r="I578" s="6">
        <v>39728</v>
      </c>
      <c r="J578" s="7">
        <v>170221</v>
      </c>
      <c r="K578" s="9" t="s">
        <v>1717</v>
      </c>
      <c r="L578" s="9" t="s">
        <v>1718</v>
      </c>
      <c r="M578">
        <f t="shared" ca="1" si="16"/>
        <v>17</v>
      </c>
      <c r="N578">
        <f t="shared" ca="1" si="17"/>
        <v>8</v>
      </c>
    </row>
    <row r="579" spans="1:14" x14ac:dyDescent="0.3">
      <c r="A579" s="5" t="s">
        <v>1888</v>
      </c>
      <c r="B579" s="9" t="s">
        <v>1889</v>
      </c>
      <c r="C579" s="9" t="s">
        <v>14</v>
      </c>
      <c r="D579" s="9" t="s">
        <v>24</v>
      </c>
      <c r="E579" s="9" t="s">
        <v>41</v>
      </c>
      <c r="F579" s="9" t="s">
        <v>35</v>
      </c>
      <c r="G579" s="9" t="s">
        <v>73</v>
      </c>
      <c r="H579" s="5">
        <v>44</v>
      </c>
      <c r="I579" s="6">
        <v>39305</v>
      </c>
      <c r="J579" s="7">
        <v>126277</v>
      </c>
      <c r="K579" s="9" t="s">
        <v>1717</v>
      </c>
      <c r="L579" s="9" t="s">
        <v>1718</v>
      </c>
      <c r="M579">
        <f t="shared" ref="M579:M642" ca="1" si="18">DATEDIF(I579,TODAY(),"Y")</f>
        <v>18</v>
      </c>
      <c r="N579">
        <f t="shared" ref="N579:N642" ca="1" si="19">_xlfn.XLOOKUP(M579,$Q$3:$Q$11,$R$3:$R$11,0,-1)</f>
        <v>9.5</v>
      </c>
    </row>
    <row r="580" spans="1:14" x14ac:dyDescent="0.3">
      <c r="A580" s="5" t="s">
        <v>1228</v>
      </c>
      <c r="B580" s="9" t="s">
        <v>1229</v>
      </c>
      <c r="C580" s="9" t="s">
        <v>40</v>
      </c>
      <c r="D580" s="9" t="s">
        <v>50</v>
      </c>
      <c r="E580" s="9" t="s">
        <v>31</v>
      </c>
      <c r="F580" s="9" t="s">
        <v>17</v>
      </c>
      <c r="G580" s="9" t="s">
        <v>26</v>
      </c>
      <c r="H580" s="5">
        <v>34</v>
      </c>
      <c r="I580" s="6">
        <v>41915</v>
      </c>
      <c r="J580" s="7">
        <v>103707</v>
      </c>
      <c r="K580" s="9" t="s">
        <v>19</v>
      </c>
      <c r="L580" s="9" t="s">
        <v>76</v>
      </c>
      <c r="M580">
        <f t="shared" ca="1" si="18"/>
        <v>11</v>
      </c>
      <c r="N580">
        <f t="shared" ca="1" si="19"/>
        <v>5.5</v>
      </c>
    </row>
    <row r="581" spans="1:14" x14ac:dyDescent="0.3">
      <c r="A581" s="5" t="s">
        <v>884</v>
      </c>
      <c r="B581" s="9" t="s">
        <v>885</v>
      </c>
      <c r="C581" s="9" t="s">
        <v>211</v>
      </c>
      <c r="D581" s="9" t="s">
        <v>15</v>
      </c>
      <c r="E581" s="9" t="s">
        <v>41</v>
      </c>
      <c r="F581" s="9" t="s">
        <v>35</v>
      </c>
      <c r="G581" s="9" t="s">
        <v>73</v>
      </c>
      <c r="H581" s="5">
        <v>40</v>
      </c>
      <c r="I581" s="6">
        <v>44465</v>
      </c>
      <c r="J581" s="7">
        <v>87770</v>
      </c>
      <c r="K581" s="9" t="s">
        <v>19</v>
      </c>
      <c r="L581" s="9" t="s">
        <v>51</v>
      </c>
      <c r="M581">
        <f t="shared" ca="1" si="18"/>
        <v>4</v>
      </c>
      <c r="N581">
        <f t="shared" ca="1" si="19"/>
        <v>3</v>
      </c>
    </row>
    <row r="582" spans="1:14" x14ac:dyDescent="0.3">
      <c r="A582" s="5" t="s">
        <v>992</v>
      </c>
      <c r="B582" s="9" t="s">
        <v>993</v>
      </c>
      <c r="C582" s="9" t="s">
        <v>14</v>
      </c>
      <c r="D582" s="9" t="s">
        <v>24</v>
      </c>
      <c r="E582" s="9" t="s">
        <v>25</v>
      </c>
      <c r="F582" s="9" t="s">
        <v>35</v>
      </c>
      <c r="G582" s="9" t="s">
        <v>36</v>
      </c>
      <c r="H582" s="5">
        <v>44</v>
      </c>
      <c r="I582" s="6">
        <v>40274</v>
      </c>
      <c r="J582" s="7">
        <v>142878</v>
      </c>
      <c r="K582" s="9" t="s">
        <v>19</v>
      </c>
      <c r="L582" s="9" t="s">
        <v>76</v>
      </c>
      <c r="M582">
        <f t="shared" ca="1" si="18"/>
        <v>15</v>
      </c>
      <c r="N582">
        <f t="shared" ca="1" si="19"/>
        <v>8</v>
      </c>
    </row>
    <row r="583" spans="1:14" x14ac:dyDescent="0.3">
      <c r="A583" s="5" t="s">
        <v>500</v>
      </c>
      <c r="B583" s="9" t="s">
        <v>501</v>
      </c>
      <c r="C583" s="9" t="s">
        <v>67</v>
      </c>
      <c r="D583" s="9" t="s">
        <v>60</v>
      </c>
      <c r="E583" s="9" t="s">
        <v>16</v>
      </c>
      <c r="F583" s="9" t="s">
        <v>17</v>
      </c>
      <c r="G583" s="9" t="s">
        <v>26</v>
      </c>
      <c r="H583" s="5">
        <v>51</v>
      </c>
      <c r="I583" s="6">
        <v>35230</v>
      </c>
      <c r="J583" s="7">
        <v>200246</v>
      </c>
      <c r="K583" s="9" t="s">
        <v>19</v>
      </c>
      <c r="L583" s="9" t="s">
        <v>76</v>
      </c>
      <c r="M583">
        <f t="shared" ca="1" si="18"/>
        <v>29</v>
      </c>
      <c r="N583">
        <f t="shared" ca="1" si="19"/>
        <v>10</v>
      </c>
    </row>
    <row r="584" spans="1:14" x14ac:dyDescent="0.3">
      <c r="A584" s="5" t="s">
        <v>1864</v>
      </c>
      <c r="B584" s="9" t="s">
        <v>1865</v>
      </c>
      <c r="C584" s="9" t="s">
        <v>451</v>
      </c>
      <c r="D584" s="9" t="s">
        <v>15</v>
      </c>
      <c r="E584" s="9" t="s">
        <v>25</v>
      </c>
      <c r="F584" s="9" t="s">
        <v>35</v>
      </c>
      <c r="G584" s="9" t="s">
        <v>73</v>
      </c>
      <c r="H584" s="5">
        <v>57</v>
      </c>
      <c r="I584" s="6">
        <v>41830</v>
      </c>
      <c r="J584" s="7">
        <v>66649</v>
      </c>
      <c r="K584" s="9" t="s">
        <v>1717</v>
      </c>
      <c r="L584" s="9" t="s">
        <v>1721</v>
      </c>
      <c r="M584">
        <f t="shared" ca="1" si="18"/>
        <v>11</v>
      </c>
      <c r="N584">
        <f t="shared" ca="1" si="19"/>
        <v>5.5</v>
      </c>
    </row>
    <row r="585" spans="1:14" x14ac:dyDescent="0.3">
      <c r="A585" s="5" t="s">
        <v>923</v>
      </c>
      <c r="B585" s="9" t="s">
        <v>924</v>
      </c>
      <c r="C585" s="9" t="s">
        <v>67</v>
      </c>
      <c r="D585" s="9" t="s">
        <v>56</v>
      </c>
      <c r="E585" s="9" t="s">
        <v>25</v>
      </c>
      <c r="F585" s="9" t="s">
        <v>17</v>
      </c>
      <c r="G585" s="9" t="s">
        <v>26</v>
      </c>
      <c r="H585" s="5">
        <v>28</v>
      </c>
      <c r="I585" s="6">
        <v>44402</v>
      </c>
      <c r="J585" s="7">
        <v>231850</v>
      </c>
      <c r="K585" s="9" t="s">
        <v>19</v>
      </c>
      <c r="L585" s="9" t="s">
        <v>45</v>
      </c>
      <c r="M585">
        <f t="shared" ca="1" si="18"/>
        <v>4</v>
      </c>
      <c r="N585">
        <f t="shared" ca="1" si="19"/>
        <v>3</v>
      </c>
    </row>
    <row r="586" spans="1:14" x14ac:dyDescent="0.3">
      <c r="A586" s="5" t="s">
        <v>1002</v>
      </c>
      <c r="B586" s="9" t="s">
        <v>1003</v>
      </c>
      <c r="C586" s="9" t="s">
        <v>34</v>
      </c>
      <c r="D586" s="9" t="s">
        <v>50</v>
      </c>
      <c r="E586" s="9" t="s">
        <v>25</v>
      </c>
      <c r="F586" s="9" t="s">
        <v>35</v>
      </c>
      <c r="G586" s="9" t="s">
        <v>36</v>
      </c>
      <c r="H586" s="5">
        <v>54</v>
      </c>
      <c r="I586" s="6">
        <v>42494</v>
      </c>
      <c r="J586" s="7">
        <v>93668</v>
      </c>
      <c r="K586" s="9" t="s">
        <v>19</v>
      </c>
      <c r="L586" s="9" t="s">
        <v>27</v>
      </c>
      <c r="M586">
        <f t="shared" ca="1" si="18"/>
        <v>9</v>
      </c>
      <c r="N586">
        <f t="shared" ca="1" si="19"/>
        <v>5.5</v>
      </c>
    </row>
    <row r="587" spans="1:14" x14ac:dyDescent="0.3">
      <c r="A587" s="5" t="s">
        <v>1195</v>
      </c>
      <c r="B587" s="9" t="s">
        <v>1664</v>
      </c>
      <c r="C587" s="9" t="s">
        <v>23</v>
      </c>
      <c r="D587" s="9" t="s">
        <v>68</v>
      </c>
      <c r="E587" s="9" t="s">
        <v>41</v>
      </c>
      <c r="F587" s="9" t="s">
        <v>35</v>
      </c>
      <c r="G587" s="9" t="s">
        <v>36</v>
      </c>
      <c r="H587" s="5">
        <v>49</v>
      </c>
      <c r="I587" s="6">
        <v>41816</v>
      </c>
      <c r="J587" s="7">
        <v>153961</v>
      </c>
      <c r="K587" s="9" t="s">
        <v>1310</v>
      </c>
      <c r="L587" s="9" t="s">
        <v>1316</v>
      </c>
      <c r="M587">
        <f t="shared" ca="1" si="18"/>
        <v>11</v>
      </c>
      <c r="N587">
        <f t="shared" ca="1" si="19"/>
        <v>5.5</v>
      </c>
    </row>
    <row r="588" spans="1:14" x14ac:dyDescent="0.3">
      <c r="A588" s="5" t="s">
        <v>1195</v>
      </c>
      <c r="B588" s="9" t="s">
        <v>1196</v>
      </c>
      <c r="C588" s="9" t="s">
        <v>40</v>
      </c>
      <c r="D588" s="9" t="s">
        <v>50</v>
      </c>
      <c r="E588" s="9" t="s">
        <v>16</v>
      </c>
      <c r="F588" s="9" t="s">
        <v>35</v>
      </c>
      <c r="G588" s="9" t="s">
        <v>26</v>
      </c>
      <c r="H588" s="5">
        <v>44</v>
      </c>
      <c r="I588" s="6">
        <v>37296</v>
      </c>
      <c r="J588" s="7">
        <v>117545</v>
      </c>
      <c r="K588" s="9" t="s">
        <v>19</v>
      </c>
      <c r="L588" s="9" t="s">
        <v>37</v>
      </c>
      <c r="M588">
        <f t="shared" ca="1" si="18"/>
        <v>23</v>
      </c>
      <c r="N588">
        <f t="shared" ca="1" si="19"/>
        <v>9.5</v>
      </c>
    </row>
    <row r="589" spans="1:14" x14ac:dyDescent="0.3">
      <c r="A589" s="5" t="s">
        <v>1372</v>
      </c>
      <c r="B589" s="9" t="s">
        <v>1373</v>
      </c>
      <c r="C589" s="9" t="s">
        <v>116</v>
      </c>
      <c r="D589" s="9" t="s">
        <v>60</v>
      </c>
      <c r="E589" s="9" t="s">
        <v>25</v>
      </c>
      <c r="F589" s="9" t="s">
        <v>35</v>
      </c>
      <c r="G589" s="9" t="s">
        <v>36</v>
      </c>
      <c r="H589" s="5">
        <v>61</v>
      </c>
      <c r="I589" s="6">
        <v>37582</v>
      </c>
      <c r="J589" s="7">
        <v>80950</v>
      </c>
      <c r="K589" s="9" t="s">
        <v>1310</v>
      </c>
      <c r="L589" s="9" t="s">
        <v>1311</v>
      </c>
      <c r="M589">
        <f t="shared" ca="1" si="18"/>
        <v>23</v>
      </c>
      <c r="N589">
        <f t="shared" ca="1" si="19"/>
        <v>9.5</v>
      </c>
    </row>
    <row r="590" spans="1:14" x14ac:dyDescent="0.3">
      <c r="A590" s="5" t="s">
        <v>271</v>
      </c>
      <c r="B590" s="9" t="s">
        <v>272</v>
      </c>
      <c r="C590" s="9" t="s">
        <v>23</v>
      </c>
      <c r="D590" s="9" t="s">
        <v>60</v>
      </c>
      <c r="E590" s="9" t="s">
        <v>25</v>
      </c>
      <c r="F590" s="9" t="s">
        <v>35</v>
      </c>
      <c r="G590" s="9" t="s">
        <v>26</v>
      </c>
      <c r="H590" s="5">
        <v>30</v>
      </c>
      <c r="I590" s="6">
        <v>43240</v>
      </c>
      <c r="J590" s="7">
        <v>184368</v>
      </c>
      <c r="K590" s="9" t="s">
        <v>19</v>
      </c>
      <c r="L590" s="9" t="s">
        <v>51</v>
      </c>
      <c r="M590">
        <f t="shared" ca="1" si="18"/>
        <v>7</v>
      </c>
      <c r="N590">
        <f t="shared" ca="1" si="19"/>
        <v>4</v>
      </c>
    </row>
    <row r="591" spans="1:14" x14ac:dyDescent="0.3">
      <c r="A591" s="5" t="s">
        <v>629</v>
      </c>
      <c r="B591" s="9" t="s">
        <v>630</v>
      </c>
      <c r="C591" s="9" t="s">
        <v>34</v>
      </c>
      <c r="D591" s="9" t="s">
        <v>68</v>
      </c>
      <c r="E591" s="9" t="s">
        <v>41</v>
      </c>
      <c r="F591" s="9" t="s">
        <v>17</v>
      </c>
      <c r="G591" s="9" t="s">
        <v>73</v>
      </c>
      <c r="H591" s="5">
        <v>32</v>
      </c>
      <c r="I591" s="6">
        <v>41590</v>
      </c>
      <c r="J591" s="7">
        <v>88895</v>
      </c>
      <c r="K591" s="9" t="s">
        <v>19</v>
      </c>
      <c r="L591" s="9" t="s">
        <v>27</v>
      </c>
      <c r="M591">
        <f t="shared" ca="1" si="18"/>
        <v>12</v>
      </c>
      <c r="N591">
        <f t="shared" ca="1" si="19"/>
        <v>8</v>
      </c>
    </row>
    <row r="592" spans="1:14" x14ac:dyDescent="0.3">
      <c r="A592" s="5" t="s">
        <v>1429</v>
      </c>
      <c r="B592" s="9" t="s">
        <v>1430</v>
      </c>
      <c r="C592" s="9" t="s">
        <v>67</v>
      </c>
      <c r="D592" s="9" t="s">
        <v>60</v>
      </c>
      <c r="E592" s="9" t="s">
        <v>25</v>
      </c>
      <c r="F592" s="9" t="s">
        <v>35</v>
      </c>
      <c r="G592" s="9" t="s">
        <v>36</v>
      </c>
      <c r="H592" s="5">
        <v>47</v>
      </c>
      <c r="I592" s="6">
        <v>41071</v>
      </c>
      <c r="J592" s="7">
        <v>222941</v>
      </c>
      <c r="K592" s="9" t="s">
        <v>1310</v>
      </c>
      <c r="L592" s="9" t="s">
        <v>1323</v>
      </c>
      <c r="M592">
        <f t="shared" ca="1" si="18"/>
        <v>13</v>
      </c>
      <c r="N592">
        <f t="shared" ca="1" si="19"/>
        <v>8</v>
      </c>
    </row>
    <row r="593" spans="1:14" x14ac:dyDescent="0.3">
      <c r="A593" s="5" t="s">
        <v>677</v>
      </c>
      <c r="B593" s="9" t="s">
        <v>678</v>
      </c>
      <c r="C593" s="9" t="s">
        <v>34</v>
      </c>
      <c r="D593" s="9" t="s">
        <v>50</v>
      </c>
      <c r="E593" s="9" t="s">
        <v>31</v>
      </c>
      <c r="F593" s="9" t="s">
        <v>17</v>
      </c>
      <c r="G593" s="9" t="s">
        <v>26</v>
      </c>
      <c r="H593" s="5">
        <v>56</v>
      </c>
      <c r="I593" s="6">
        <v>43169</v>
      </c>
      <c r="J593" s="7">
        <v>90040</v>
      </c>
      <c r="K593" s="9" t="s">
        <v>19</v>
      </c>
      <c r="L593" s="9" t="s">
        <v>27</v>
      </c>
      <c r="M593">
        <f t="shared" ca="1" si="18"/>
        <v>7</v>
      </c>
      <c r="N593">
        <f t="shared" ca="1" si="19"/>
        <v>4</v>
      </c>
    </row>
    <row r="594" spans="1:14" x14ac:dyDescent="0.3">
      <c r="A594" s="5" t="s">
        <v>624</v>
      </c>
      <c r="B594" s="9" t="s">
        <v>625</v>
      </c>
      <c r="C594" s="9" t="s">
        <v>14</v>
      </c>
      <c r="D594" s="9" t="s">
        <v>24</v>
      </c>
      <c r="E594" s="9" t="s">
        <v>16</v>
      </c>
      <c r="F594" s="9" t="s">
        <v>35</v>
      </c>
      <c r="G594" s="9" t="s">
        <v>36</v>
      </c>
      <c r="H594" s="5">
        <v>43</v>
      </c>
      <c r="I594" s="6">
        <v>44303</v>
      </c>
      <c r="J594" s="7">
        <v>146140</v>
      </c>
      <c r="K594" s="9" t="s">
        <v>19</v>
      </c>
      <c r="L594" s="9" t="s">
        <v>20</v>
      </c>
      <c r="M594">
        <f t="shared" ca="1" si="18"/>
        <v>4</v>
      </c>
      <c r="N594">
        <f t="shared" ca="1" si="19"/>
        <v>3</v>
      </c>
    </row>
    <row r="595" spans="1:14" x14ac:dyDescent="0.3">
      <c r="A595" s="5" t="s">
        <v>158</v>
      </c>
      <c r="B595" s="9" t="s">
        <v>159</v>
      </c>
      <c r="C595" s="9" t="s">
        <v>130</v>
      </c>
      <c r="D595" s="9" t="s">
        <v>60</v>
      </c>
      <c r="E595" s="9" t="s">
        <v>31</v>
      </c>
      <c r="F595" s="9" t="s">
        <v>35</v>
      </c>
      <c r="G595" s="9" t="s">
        <v>26</v>
      </c>
      <c r="H595" s="5">
        <v>58</v>
      </c>
      <c r="I595" s="6">
        <v>37399</v>
      </c>
      <c r="J595" s="7">
        <v>76354</v>
      </c>
      <c r="K595" s="9" t="s">
        <v>19</v>
      </c>
      <c r="L595" s="9" t="s">
        <v>37</v>
      </c>
      <c r="M595">
        <f t="shared" ca="1" si="18"/>
        <v>23</v>
      </c>
      <c r="N595">
        <f t="shared" ca="1" si="19"/>
        <v>9.5</v>
      </c>
    </row>
    <row r="596" spans="1:14" x14ac:dyDescent="0.3">
      <c r="A596" s="5" t="s">
        <v>1944</v>
      </c>
      <c r="B596" s="9" t="s">
        <v>1945</v>
      </c>
      <c r="C596" s="9" t="s">
        <v>91</v>
      </c>
      <c r="D596" s="9" t="s">
        <v>24</v>
      </c>
      <c r="E596" s="9" t="s">
        <v>16</v>
      </c>
      <c r="F596" s="9" t="s">
        <v>17</v>
      </c>
      <c r="G596" s="9" t="s">
        <v>73</v>
      </c>
      <c r="H596" s="5">
        <v>25</v>
      </c>
      <c r="I596" s="6">
        <v>44024</v>
      </c>
      <c r="J596" s="7">
        <v>56565</v>
      </c>
      <c r="K596" s="9" t="s">
        <v>1717</v>
      </c>
      <c r="L596" s="9" t="s">
        <v>1736</v>
      </c>
      <c r="M596">
        <f t="shared" ca="1" si="18"/>
        <v>5</v>
      </c>
      <c r="N596">
        <f t="shared" ca="1" si="19"/>
        <v>3</v>
      </c>
    </row>
    <row r="597" spans="1:14" x14ac:dyDescent="0.3">
      <c r="A597" s="5" t="s">
        <v>1471</v>
      </c>
      <c r="B597" s="9" t="s">
        <v>1472</v>
      </c>
      <c r="C597" s="9" t="s">
        <v>96</v>
      </c>
      <c r="D597" s="9" t="s">
        <v>15</v>
      </c>
      <c r="E597" s="9" t="s">
        <v>41</v>
      </c>
      <c r="F597" s="9" t="s">
        <v>17</v>
      </c>
      <c r="G597" s="9" t="s">
        <v>36</v>
      </c>
      <c r="H597" s="5">
        <v>45</v>
      </c>
      <c r="I597" s="6">
        <v>41511</v>
      </c>
      <c r="J597" s="7">
        <v>99169</v>
      </c>
      <c r="K597" s="9" t="s">
        <v>1310</v>
      </c>
      <c r="L597" s="9" t="s">
        <v>1323</v>
      </c>
      <c r="M597">
        <f t="shared" ca="1" si="18"/>
        <v>12</v>
      </c>
      <c r="N597">
        <f t="shared" ca="1" si="19"/>
        <v>8</v>
      </c>
    </row>
    <row r="598" spans="1:14" x14ac:dyDescent="0.3">
      <c r="A598" s="5" t="s">
        <v>1541</v>
      </c>
      <c r="B598" s="9" t="s">
        <v>1542</v>
      </c>
      <c r="C598" s="9" t="s">
        <v>91</v>
      </c>
      <c r="D598" s="9" t="s">
        <v>68</v>
      </c>
      <c r="E598" s="9" t="s">
        <v>31</v>
      </c>
      <c r="F598" s="9" t="s">
        <v>35</v>
      </c>
      <c r="G598" s="9" t="s">
        <v>36</v>
      </c>
      <c r="H598" s="5">
        <v>52</v>
      </c>
      <c r="I598" s="6">
        <v>36303</v>
      </c>
      <c r="J598" s="7">
        <v>68807</v>
      </c>
      <c r="K598" s="9" t="s">
        <v>1310</v>
      </c>
      <c r="L598" s="9" t="s">
        <v>1330</v>
      </c>
      <c r="M598">
        <f t="shared" ca="1" si="18"/>
        <v>26</v>
      </c>
      <c r="N598">
        <f t="shared" ca="1" si="19"/>
        <v>10</v>
      </c>
    </row>
    <row r="599" spans="1:14" x14ac:dyDescent="0.3">
      <c r="A599" s="5" t="s">
        <v>1441</v>
      </c>
      <c r="B599" s="9" t="s">
        <v>1442</v>
      </c>
      <c r="C599" s="9" t="s">
        <v>23</v>
      </c>
      <c r="D599" s="9" t="s">
        <v>56</v>
      </c>
      <c r="E599" s="9" t="s">
        <v>41</v>
      </c>
      <c r="F599" s="9" t="s">
        <v>17</v>
      </c>
      <c r="G599" s="9" t="s">
        <v>36</v>
      </c>
      <c r="H599" s="5">
        <v>57</v>
      </c>
      <c r="I599" s="6">
        <v>42667</v>
      </c>
      <c r="J599" s="7">
        <v>176324</v>
      </c>
      <c r="K599" s="9" t="s">
        <v>1310</v>
      </c>
      <c r="L599" s="9" t="s">
        <v>1316</v>
      </c>
      <c r="M599">
        <f t="shared" ca="1" si="18"/>
        <v>9</v>
      </c>
      <c r="N599">
        <f t="shared" ca="1" si="19"/>
        <v>5.5</v>
      </c>
    </row>
    <row r="600" spans="1:14" x14ac:dyDescent="0.3">
      <c r="A600" s="5" t="s">
        <v>1615</v>
      </c>
      <c r="B600" s="9" t="s">
        <v>1616</v>
      </c>
      <c r="C600" s="9" t="s">
        <v>34</v>
      </c>
      <c r="D600" s="9" t="s">
        <v>68</v>
      </c>
      <c r="E600" s="9" t="s">
        <v>41</v>
      </c>
      <c r="F600" s="9" t="s">
        <v>35</v>
      </c>
      <c r="G600" s="9" t="s">
        <v>36</v>
      </c>
      <c r="H600" s="5">
        <v>45</v>
      </c>
      <c r="I600" s="6">
        <v>39347</v>
      </c>
      <c r="J600" s="7">
        <v>92293</v>
      </c>
      <c r="K600" s="9" t="s">
        <v>1310</v>
      </c>
      <c r="L600" s="9" t="s">
        <v>1330</v>
      </c>
      <c r="M600">
        <f t="shared" ca="1" si="18"/>
        <v>18</v>
      </c>
      <c r="N600">
        <f t="shared" ca="1" si="19"/>
        <v>9.5</v>
      </c>
    </row>
    <row r="601" spans="1:14" x14ac:dyDescent="0.3">
      <c r="A601" s="5" t="s">
        <v>914</v>
      </c>
      <c r="B601" s="9" t="s">
        <v>915</v>
      </c>
      <c r="C601" s="9" t="s">
        <v>40</v>
      </c>
      <c r="D601" s="9" t="s">
        <v>15</v>
      </c>
      <c r="E601" s="9" t="s">
        <v>41</v>
      </c>
      <c r="F601" s="9" t="s">
        <v>35</v>
      </c>
      <c r="G601" s="9" t="s">
        <v>26</v>
      </c>
      <c r="H601" s="5">
        <v>30</v>
      </c>
      <c r="I601" s="6">
        <v>42952</v>
      </c>
      <c r="J601" s="7">
        <v>119906</v>
      </c>
      <c r="K601" s="9" t="s">
        <v>19</v>
      </c>
      <c r="L601" s="9" t="s">
        <v>76</v>
      </c>
      <c r="M601">
        <f t="shared" ca="1" si="18"/>
        <v>8</v>
      </c>
      <c r="N601">
        <f t="shared" ca="1" si="19"/>
        <v>5.5</v>
      </c>
    </row>
    <row r="602" spans="1:14" x14ac:dyDescent="0.3">
      <c r="A602" s="5" t="s">
        <v>1100</v>
      </c>
      <c r="B602" s="9" t="s">
        <v>1101</v>
      </c>
      <c r="C602" s="9" t="s">
        <v>14</v>
      </c>
      <c r="D602" s="9" t="s">
        <v>68</v>
      </c>
      <c r="E602" s="9" t="s">
        <v>25</v>
      </c>
      <c r="F602" s="9" t="s">
        <v>17</v>
      </c>
      <c r="G602" s="9" t="s">
        <v>26</v>
      </c>
      <c r="H602" s="5">
        <v>55</v>
      </c>
      <c r="I602" s="6">
        <v>36977</v>
      </c>
      <c r="J602" s="7">
        <v>157812</v>
      </c>
      <c r="K602" s="9" t="s">
        <v>19</v>
      </c>
      <c r="L602" s="9" t="s">
        <v>45</v>
      </c>
      <c r="M602">
        <f t="shared" ca="1" si="18"/>
        <v>24</v>
      </c>
      <c r="N602">
        <f t="shared" ca="1" si="19"/>
        <v>9.5</v>
      </c>
    </row>
    <row r="603" spans="1:14" x14ac:dyDescent="0.3">
      <c r="A603" s="5" t="s">
        <v>1248</v>
      </c>
      <c r="B603" s="9" t="s">
        <v>1249</v>
      </c>
      <c r="C603" s="9" t="s">
        <v>181</v>
      </c>
      <c r="D603" s="9" t="s">
        <v>79</v>
      </c>
      <c r="E603" s="9" t="s">
        <v>16</v>
      </c>
      <c r="F603" s="9" t="s">
        <v>17</v>
      </c>
      <c r="G603" s="9" t="s">
        <v>36</v>
      </c>
      <c r="H603" s="5">
        <v>33</v>
      </c>
      <c r="I603" s="6">
        <v>44218</v>
      </c>
      <c r="J603" s="7">
        <v>56405</v>
      </c>
      <c r="K603" s="9" t="s">
        <v>19</v>
      </c>
      <c r="L603" s="9" t="s">
        <v>27</v>
      </c>
      <c r="M603">
        <f t="shared" ca="1" si="18"/>
        <v>4</v>
      </c>
      <c r="N603">
        <f t="shared" ca="1" si="19"/>
        <v>3</v>
      </c>
    </row>
    <row r="604" spans="1:14" x14ac:dyDescent="0.3">
      <c r="A604" s="5" t="s">
        <v>1184</v>
      </c>
      <c r="B604" s="9" t="s">
        <v>1185</v>
      </c>
      <c r="C604" s="9" t="s">
        <v>44</v>
      </c>
      <c r="D604" s="9" t="s">
        <v>79</v>
      </c>
      <c r="E604" s="9" t="s">
        <v>31</v>
      </c>
      <c r="F604" s="9" t="s">
        <v>35</v>
      </c>
      <c r="G604" s="9" t="s">
        <v>26</v>
      </c>
      <c r="H604" s="5">
        <v>54</v>
      </c>
      <c r="I604" s="6">
        <v>36062</v>
      </c>
      <c r="J604" s="7">
        <v>58006</v>
      </c>
      <c r="K604" s="9" t="s">
        <v>19</v>
      </c>
      <c r="L604" s="9" t="s">
        <v>20</v>
      </c>
      <c r="M604">
        <f t="shared" ca="1" si="18"/>
        <v>27</v>
      </c>
      <c r="N604">
        <f t="shared" ca="1" si="19"/>
        <v>10</v>
      </c>
    </row>
    <row r="605" spans="1:14" x14ac:dyDescent="0.3">
      <c r="A605" s="5" t="s">
        <v>441</v>
      </c>
      <c r="B605" s="9" t="s">
        <v>442</v>
      </c>
      <c r="C605" s="9" t="s">
        <v>196</v>
      </c>
      <c r="D605" s="9" t="s">
        <v>60</v>
      </c>
      <c r="E605" s="9" t="s">
        <v>41</v>
      </c>
      <c r="F605" s="9" t="s">
        <v>17</v>
      </c>
      <c r="G605" s="9" t="s">
        <v>26</v>
      </c>
      <c r="H605" s="5">
        <v>37</v>
      </c>
      <c r="I605" s="6">
        <v>42995</v>
      </c>
      <c r="J605" s="7">
        <v>70770</v>
      </c>
      <c r="K605" s="9" t="s">
        <v>19</v>
      </c>
      <c r="L605" s="9" t="s">
        <v>45</v>
      </c>
      <c r="M605">
        <f t="shared" ca="1" si="18"/>
        <v>8</v>
      </c>
      <c r="N605">
        <f t="shared" ca="1" si="19"/>
        <v>5.5</v>
      </c>
    </row>
    <row r="606" spans="1:14" x14ac:dyDescent="0.3">
      <c r="A606" s="5" t="s">
        <v>117</v>
      </c>
      <c r="B606" s="9" t="s">
        <v>118</v>
      </c>
      <c r="C606" s="9" t="s">
        <v>23</v>
      </c>
      <c r="D606" s="9" t="s">
        <v>60</v>
      </c>
      <c r="E606" s="9" t="s">
        <v>31</v>
      </c>
      <c r="F606" s="9" t="s">
        <v>17</v>
      </c>
      <c r="G606" s="9" t="s">
        <v>26</v>
      </c>
      <c r="H606" s="5">
        <v>45</v>
      </c>
      <c r="I606" s="6">
        <v>41941</v>
      </c>
      <c r="J606" s="7">
        <v>189420</v>
      </c>
      <c r="K606" s="9" t="s">
        <v>19</v>
      </c>
      <c r="L606" s="9" t="s">
        <v>20</v>
      </c>
      <c r="M606">
        <f t="shared" ca="1" si="18"/>
        <v>11</v>
      </c>
      <c r="N606">
        <f t="shared" ca="1" si="19"/>
        <v>5.5</v>
      </c>
    </row>
    <row r="607" spans="1:14" x14ac:dyDescent="0.3">
      <c r="A607" s="5" t="s">
        <v>331</v>
      </c>
      <c r="B607" s="9" t="s">
        <v>332</v>
      </c>
      <c r="C607" s="9" t="s">
        <v>14</v>
      </c>
      <c r="D607" s="9" t="s">
        <v>79</v>
      </c>
      <c r="E607" s="9" t="s">
        <v>31</v>
      </c>
      <c r="F607" s="9" t="s">
        <v>35</v>
      </c>
      <c r="G607" s="9" t="s">
        <v>26</v>
      </c>
      <c r="H607" s="5">
        <v>29</v>
      </c>
      <c r="I607" s="6">
        <v>42810</v>
      </c>
      <c r="J607" s="7">
        <v>151413</v>
      </c>
      <c r="K607" s="9" t="s">
        <v>19</v>
      </c>
      <c r="L607" s="9" t="s">
        <v>20</v>
      </c>
      <c r="M607">
        <f t="shared" ca="1" si="18"/>
        <v>8</v>
      </c>
      <c r="N607">
        <f t="shared" ca="1" si="19"/>
        <v>5.5</v>
      </c>
    </row>
    <row r="608" spans="1:14" x14ac:dyDescent="0.3">
      <c r="A608" s="5" t="s">
        <v>232</v>
      </c>
      <c r="B608" s="9" t="s">
        <v>233</v>
      </c>
      <c r="C608" s="9" t="s">
        <v>234</v>
      </c>
      <c r="D608" s="9" t="s">
        <v>15</v>
      </c>
      <c r="E608" s="9" t="s">
        <v>31</v>
      </c>
      <c r="F608" s="9" t="s">
        <v>17</v>
      </c>
      <c r="G608" s="9" t="s">
        <v>26</v>
      </c>
      <c r="H608" s="5">
        <v>63</v>
      </c>
      <c r="I608" s="6">
        <v>33695</v>
      </c>
      <c r="J608" s="7">
        <v>53809</v>
      </c>
      <c r="K608" s="9" t="s">
        <v>19</v>
      </c>
      <c r="L608" s="9" t="s">
        <v>37</v>
      </c>
      <c r="M608">
        <f t="shared" ca="1" si="18"/>
        <v>33</v>
      </c>
      <c r="N608">
        <f t="shared" ca="1" si="19"/>
        <v>15</v>
      </c>
    </row>
    <row r="609" spans="1:14" x14ac:dyDescent="0.3">
      <c r="A609" s="5" t="s">
        <v>507</v>
      </c>
      <c r="B609" s="9" t="s">
        <v>508</v>
      </c>
      <c r="C609" s="9" t="s">
        <v>139</v>
      </c>
      <c r="D609" s="9" t="s">
        <v>56</v>
      </c>
      <c r="E609" s="9" t="s">
        <v>25</v>
      </c>
      <c r="F609" s="9" t="s">
        <v>35</v>
      </c>
      <c r="G609" s="9" t="s">
        <v>36</v>
      </c>
      <c r="H609" s="5">
        <v>57</v>
      </c>
      <c r="I609" s="6">
        <v>35548</v>
      </c>
      <c r="J609" s="7">
        <v>54051</v>
      </c>
      <c r="K609" s="9" t="s">
        <v>19</v>
      </c>
      <c r="L609" s="9" t="s">
        <v>45</v>
      </c>
      <c r="M609">
        <f t="shared" ca="1" si="18"/>
        <v>28</v>
      </c>
      <c r="N609">
        <f t="shared" ca="1" si="19"/>
        <v>10</v>
      </c>
    </row>
    <row r="610" spans="1:14" x14ac:dyDescent="0.3">
      <c r="A610" s="5" t="s">
        <v>1355</v>
      </c>
      <c r="B610" s="9" t="s">
        <v>1356</v>
      </c>
      <c r="C610" s="9" t="s">
        <v>277</v>
      </c>
      <c r="D610" s="9" t="s">
        <v>79</v>
      </c>
      <c r="E610" s="9" t="s">
        <v>41</v>
      </c>
      <c r="F610" s="9" t="s">
        <v>17</v>
      </c>
      <c r="G610" s="9" t="s">
        <v>36</v>
      </c>
      <c r="H610" s="5">
        <v>41</v>
      </c>
      <c r="I610" s="6">
        <v>38398</v>
      </c>
      <c r="J610" s="7">
        <v>95372</v>
      </c>
      <c r="K610" s="9" t="s">
        <v>1310</v>
      </c>
      <c r="L610" s="9" t="s">
        <v>1316</v>
      </c>
      <c r="M610">
        <f t="shared" ca="1" si="18"/>
        <v>20</v>
      </c>
      <c r="N610">
        <f t="shared" ca="1" si="19"/>
        <v>9.5</v>
      </c>
    </row>
    <row r="611" spans="1:14" x14ac:dyDescent="0.3">
      <c r="A611" s="5" t="s">
        <v>1120</v>
      </c>
      <c r="B611" s="9" t="s">
        <v>1121</v>
      </c>
      <c r="C611" s="9" t="s">
        <v>67</v>
      </c>
      <c r="D611" s="9" t="s">
        <v>24</v>
      </c>
      <c r="E611" s="9" t="s">
        <v>41</v>
      </c>
      <c r="F611" s="9" t="s">
        <v>35</v>
      </c>
      <c r="G611" s="9" t="s">
        <v>73</v>
      </c>
      <c r="H611" s="5">
        <v>29</v>
      </c>
      <c r="I611" s="6">
        <v>43439</v>
      </c>
      <c r="J611" s="7">
        <v>199504</v>
      </c>
      <c r="K611" s="9" t="s">
        <v>19</v>
      </c>
      <c r="L611" s="9" t="s">
        <v>51</v>
      </c>
      <c r="M611">
        <f t="shared" ca="1" si="18"/>
        <v>6</v>
      </c>
      <c r="N611">
        <f t="shared" ca="1" si="19"/>
        <v>4</v>
      </c>
    </row>
    <row r="612" spans="1:14" x14ac:dyDescent="0.3">
      <c r="A612" s="5" t="s">
        <v>1296</v>
      </c>
      <c r="B612" s="9" t="s">
        <v>1514</v>
      </c>
      <c r="C612" s="9" t="s">
        <v>67</v>
      </c>
      <c r="D612" s="9" t="s">
        <v>15</v>
      </c>
      <c r="E612" s="9" t="s">
        <v>16</v>
      </c>
      <c r="F612" s="9" t="s">
        <v>35</v>
      </c>
      <c r="G612" s="9" t="s">
        <v>36</v>
      </c>
      <c r="H612" s="5">
        <v>35</v>
      </c>
      <c r="I612" s="6">
        <v>42166</v>
      </c>
      <c r="J612" s="7">
        <v>234723</v>
      </c>
      <c r="K612" s="9" t="s">
        <v>1310</v>
      </c>
      <c r="L612" s="9" t="s">
        <v>1316</v>
      </c>
      <c r="M612">
        <f t="shared" ca="1" si="18"/>
        <v>10</v>
      </c>
      <c r="N612">
        <f t="shared" ca="1" si="19"/>
        <v>5.5</v>
      </c>
    </row>
    <row r="613" spans="1:14" x14ac:dyDescent="0.3">
      <c r="A613" s="5" t="s">
        <v>1296</v>
      </c>
      <c r="B613" s="9" t="s">
        <v>1297</v>
      </c>
      <c r="C613" s="9" t="s">
        <v>101</v>
      </c>
      <c r="D613" s="9" t="s">
        <v>15</v>
      </c>
      <c r="E613" s="9" t="s">
        <v>31</v>
      </c>
      <c r="F613" s="9" t="s">
        <v>35</v>
      </c>
      <c r="G613" s="9" t="s">
        <v>26</v>
      </c>
      <c r="H613" s="5">
        <v>30</v>
      </c>
      <c r="I613" s="6">
        <v>42169</v>
      </c>
      <c r="J613" s="7">
        <v>67489</v>
      </c>
      <c r="K613" s="9" t="s">
        <v>19</v>
      </c>
      <c r="L613" s="9" t="s">
        <v>27</v>
      </c>
      <c r="M613">
        <f t="shared" ca="1" si="18"/>
        <v>10</v>
      </c>
      <c r="N613">
        <f t="shared" ca="1" si="19"/>
        <v>5.5</v>
      </c>
    </row>
    <row r="614" spans="1:14" x14ac:dyDescent="0.3">
      <c r="A614" s="5" t="s">
        <v>1566</v>
      </c>
      <c r="B614" s="9" t="s">
        <v>1567</v>
      </c>
      <c r="C614" s="9" t="s">
        <v>40</v>
      </c>
      <c r="D614" s="9" t="s">
        <v>68</v>
      </c>
      <c r="E614" s="9" t="s">
        <v>31</v>
      </c>
      <c r="F614" s="9" t="s">
        <v>17</v>
      </c>
      <c r="G614" s="9" t="s">
        <v>36</v>
      </c>
      <c r="H614" s="5">
        <v>64</v>
      </c>
      <c r="I614" s="6">
        <v>43729</v>
      </c>
      <c r="J614" s="7">
        <v>108780</v>
      </c>
      <c r="K614" s="9" t="s">
        <v>1310</v>
      </c>
      <c r="L614" s="9" t="s">
        <v>1316</v>
      </c>
      <c r="M614">
        <f t="shared" ca="1" si="18"/>
        <v>6</v>
      </c>
      <c r="N614">
        <f t="shared" ca="1" si="19"/>
        <v>4</v>
      </c>
    </row>
    <row r="615" spans="1:14" x14ac:dyDescent="0.3">
      <c r="A615" s="5" t="s">
        <v>228</v>
      </c>
      <c r="B615" s="9" t="s">
        <v>229</v>
      </c>
      <c r="C615" s="9" t="s">
        <v>40</v>
      </c>
      <c r="D615" s="9" t="s">
        <v>68</v>
      </c>
      <c r="E615" s="9" t="s">
        <v>31</v>
      </c>
      <c r="F615" s="9" t="s">
        <v>17</v>
      </c>
      <c r="G615" s="9" t="s">
        <v>26</v>
      </c>
      <c r="H615" s="5">
        <v>65</v>
      </c>
      <c r="I615" s="6">
        <v>40793</v>
      </c>
      <c r="J615" s="7">
        <v>104903</v>
      </c>
      <c r="K615" s="9" t="s">
        <v>19</v>
      </c>
      <c r="L615" s="9" t="s">
        <v>76</v>
      </c>
      <c r="M615">
        <f t="shared" ca="1" si="18"/>
        <v>14</v>
      </c>
      <c r="N615">
        <f t="shared" ca="1" si="19"/>
        <v>8</v>
      </c>
    </row>
    <row r="616" spans="1:14" x14ac:dyDescent="0.3">
      <c r="A616" s="5" t="s">
        <v>1593</v>
      </c>
      <c r="B616" s="9" t="s">
        <v>1594</v>
      </c>
      <c r="C616" s="9" t="s">
        <v>91</v>
      </c>
      <c r="D616" s="9" t="s">
        <v>79</v>
      </c>
      <c r="E616" s="9" t="s">
        <v>25</v>
      </c>
      <c r="F616" s="9" t="s">
        <v>35</v>
      </c>
      <c r="G616" s="9" t="s">
        <v>36</v>
      </c>
      <c r="H616" s="5">
        <v>31</v>
      </c>
      <c r="I616" s="6">
        <v>43878</v>
      </c>
      <c r="J616" s="7">
        <v>67171</v>
      </c>
      <c r="K616" s="9" t="s">
        <v>1310</v>
      </c>
      <c r="L616" s="9" t="s">
        <v>1311</v>
      </c>
      <c r="M616">
        <f t="shared" ca="1" si="18"/>
        <v>5</v>
      </c>
      <c r="N616">
        <f t="shared" ca="1" si="19"/>
        <v>3</v>
      </c>
    </row>
    <row r="617" spans="1:14" x14ac:dyDescent="0.3">
      <c r="A617" s="5" t="s">
        <v>734</v>
      </c>
      <c r="B617" s="9" t="s">
        <v>735</v>
      </c>
      <c r="C617" s="9" t="s">
        <v>116</v>
      </c>
      <c r="D617" s="9" t="s">
        <v>60</v>
      </c>
      <c r="E617" s="9" t="s">
        <v>16</v>
      </c>
      <c r="F617" s="9" t="s">
        <v>35</v>
      </c>
      <c r="G617" s="9" t="s">
        <v>73</v>
      </c>
      <c r="H617" s="5">
        <v>41</v>
      </c>
      <c r="I617" s="6">
        <v>40929</v>
      </c>
      <c r="J617" s="7">
        <v>94658</v>
      </c>
      <c r="K617" s="9" t="s">
        <v>19</v>
      </c>
      <c r="L617" s="9" t="s">
        <v>45</v>
      </c>
      <c r="M617">
        <f t="shared" ca="1" si="18"/>
        <v>13</v>
      </c>
      <c r="N617">
        <f t="shared" ca="1" si="19"/>
        <v>8</v>
      </c>
    </row>
    <row r="618" spans="1:14" x14ac:dyDescent="0.3">
      <c r="A618" s="5" t="s">
        <v>456</v>
      </c>
      <c r="B618" s="9" t="s">
        <v>457</v>
      </c>
      <c r="C618" s="9" t="s">
        <v>14</v>
      </c>
      <c r="D618" s="9" t="s">
        <v>79</v>
      </c>
      <c r="E618" s="9" t="s">
        <v>31</v>
      </c>
      <c r="F618" s="9" t="s">
        <v>17</v>
      </c>
      <c r="G618" s="9" t="s">
        <v>26</v>
      </c>
      <c r="H618" s="5">
        <v>49</v>
      </c>
      <c r="I618" s="6">
        <v>41379</v>
      </c>
      <c r="J618" s="7">
        <v>128303</v>
      </c>
      <c r="K618" s="9" t="s">
        <v>19</v>
      </c>
      <c r="L618" s="9" t="s">
        <v>37</v>
      </c>
      <c r="M618">
        <f t="shared" ca="1" si="18"/>
        <v>12</v>
      </c>
      <c r="N618">
        <f t="shared" ca="1" si="19"/>
        <v>8</v>
      </c>
    </row>
    <row r="619" spans="1:14" x14ac:dyDescent="0.3">
      <c r="A619" s="5" t="s">
        <v>1481</v>
      </c>
      <c r="B619" s="9" t="s">
        <v>1482</v>
      </c>
      <c r="C619" s="9" t="s">
        <v>101</v>
      </c>
      <c r="D619" s="9" t="s">
        <v>15</v>
      </c>
      <c r="E619" s="9" t="s">
        <v>25</v>
      </c>
      <c r="F619" s="9" t="s">
        <v>17</v>
      </c>
      <c r="G619" s="9" t="s">
        <v>36</v>
      </c>
      <c r="H619" s="5">
        <v>49</v>
      </c>
      <c r="I619" s="6">
        <v>40431</v>
      </c>
      <c r="J619" s="7">
        <v>72826</v>
      </c>
      <c r="K619" s="9" t="s">
        <v>1310</v>
      </c>
      <c r="L619" s="9" t="s">
        <v>1323</v>
      </c>
      <c r="M619">
        <f t="shared" ca="1" si="18"/>
        <v>15</v>
      </c>
      <c r="N619">
        <f t="shared" ca="1" si="19"/>
        <v>8</v>
      </c>
    </row>
    <row r="620" spans="1:14" x14ac:dyDescent="0.3">
      <c r="A620" s="5" t="s">
        <v>1302</v>
      </c>
      <c r="B620" s="9" t="s">
        <v>1303</v>
      </c>
      <c r="C620" s="9" t="s">
        <v>34</v>
      </c>
      <c r="D620" s="9" t="s">
        <v>68</v>
      </c>
      <c r="E620" s="9" t="s">
        <v>25</v>
      </c>
      <c r="F620" s="9" t="s">
        <v>35</v>
      </c>
      <c r="G620" s="9" t="s">
        <v>26</v>
      </c>
      <c r="H620" s="5">
        <v>33</v>
      </c>
      <c r="I620" s="6">
        <v>42631</v>
      </c>
      <c r="J620" s="7">
        <v>98427</v>
      </c>
      <c r="K620" s="9" t="s">
        <v>19</v>
      </c>
      <c r="L620" s="9" t="s">
        <v>76</v>
      </c>
      <c r="M620">
        <f t="shared" ca="1" si="18"/>
        <v>9</v>
      </c>
      <c r="N620">
        <f t="shared" ca="1" si="19"/>
        <v>5.5</v>
      </c>
    </row>
    <row r="621" spans="1:14" x14ac:dyDescent="0.3">
      <c r="A621" s="5" t="s">
        <v>1435</v>
      </c>
      <c r="B621" s="9" t="s">
        <v>1436</v>
      </c>
      <c r="C621" s="9" t="s">
        <v>23</v>
      </c>
      <c r="D621" s="9" t="s">
        <v>24</v>
      </c>
      <c r="E621" s="9" t="s">
        <v>16</v>
      </c>
      <c r="F621" s="9" t="s">
        <v>17</v>
      </c>
      <c r="G621" s="9" t="s">
        <v>36</v>
      </c>
      <c r="H621" s="5">
        <v>63</v>
      </c>
      <c r="I621" s="6">
        <v>36826</v>
      </c>
      <c r="J621" s="7">
        <v>155320</v>
      </c>
      <c r="K621" s="9" t="s">
        <v>1310</v>
      </c>
      <c r="L621" s="9" t="s">
        <v>1311</v>
      </c>
      <c r="M621">
        <f t="shared" ca="1" si="18"/>
        <v>25</v>
      </c>
      <c r="N621">
        <f t="shared" ca="1" si="19"/>
        <v>10</v>
      </c>
    </row>
    <row r="622" spans="1:14" x14ac:dyDescent="0.3">
      <c r="A622" s="5" t="s">
        <v>736</v>
      </c>
      <c r="B622" s="9" t="s">
        <v>737</v>
      </c>
      <c r="C622" s="9" t="s">
        <v>121</v>
      </c>
      <c r="D622" s="9" t="s">
        <v>56</v>
      </c>
      <c r="E622" s="9" t="s">
        <v>31</v>
      </c>
      <c r="F622" s="9" t="s">
        <v>35</v>
      </c>
      <c r="G622" s="9" t="s">
        <v>18</v>
      </c>
      <c r="H622" s="5">
        <v>45</v>
      </c>
      <c r="I622" s="6">
        <v>42357</v>
      </c>
      <c r="J622" s="7">
        <v>51983</v>
      </c>
      <c r="K622" s="9" t="s">
        <v>19</v>
      </c>
      <c r="L622" s="9" t="s">
        <v>76</v>
      </c>
      <c r="M622">
        <f t="shared" ca="1" si="18"/>
        <v>9</v>
      </c>
      <c r="N622">
        <f t="shared" ca="1" si="19"/>
        <v>5.5</v>
      </c>
    </row>
    <row r="623" spans="1:14" x14ac:dyDescent="0.3">
      <c r="A623" s="5" t="s">
        <v>1967</v>
      </c>
      <c r="B623" s="9" t="s">
        <v>1968</v>
      </c>
      <c r="C623" s="9" t="s">
        <v>40</v>
      </c>
      <c r="D623" s="9" t="s">
        <v>79</v>
      </c>
      <c r="E623" s="9" t="s">
        <v>41</v>
      </c>
      <c r="F623" s="9" t="s">
        <v>35</v>
      </c>
      <c r="G623" s="9" t="s">
        <v>73</v>
      </c>
      <c r="H623" s="5">
        <v>50</v>
      </c>
      <c r="I623" s="6">
        <v>41024</v>
      </c>
      <c r="J623" s="7">
        <v>113269</v>
      </c>
      <c r="K623" s="9" t="s">
        <v>1717</v>
      </c>
      <c r="L623" s="9" t="s">
        <v>1736</v>
      </c>
      <c r="M623">
        <f t="shared" ca="1" si="18"/>
        <v>13</v>
      </c>
      <c r="N623">
        <f t="shared" ca="1" si="19"/>
        <v>8</v>
      </c>
    </row>
    <row r="624" spans="1:14" x14ac:dyDescent="0.3">
      <c r="A624" s="5" t="s">
        <v>1224</v>
      </c>
      <c r="B624" s="9" t="s">
        <v>1225</v>
      </c>
      <c r="C624" s="9" t="s">
        <v>67</v>
      </c>
      <c r="D624" s="9" t="s">
        <v>24</v>
      </c>
      <c r="E624" s="9" t="s">
        <v>41</v>
      </c>
      <c r="F624" s="9" t="s">
        <v>35</v>
      </c>
      <c r="G624" s="9" t="s">
        <v>26</v>
      </c>
      <c r="H624" s="5">
        <v>36</v>
      </c>
      <c r="I624" s="6">
        <v>39830</v>
      </c>
      <c r="J624" s="7">
        <v>238236</v>
      </c>
      <c r="K624" s="9" t="s">
        <v>19</v>
      </c>
      <c r="L624" s="9" t="s">
        <v>20</v>
      </c>
      <c r="M624">
        <f t="shared" ca="1" si="18"/>
        <v>16</v>
      </c>
      <c r="N624">
        <f t="shared" ca="1" si="19"/>
        <v>8</v>
      </c>
    </row>
    <row r="625" spans="1:14" x14ac:dyDescent="0.3">
      <c r="A625" s="5" t="s">
        <v>745</v>
      </c>
      <c r="B625" s="9" t="s">
        <v>746</v>
      </c>
      <c r="C625" s="9" t="s">
        <v>40</v>
      </c>
      <c r="D625" s="9" t="s">
        <v>50</v>
      </c>
      <c r="E625" s="9" t="s">
        <v>41</v>
      </c>
      <c r="F625" s="9" t="s">
        <v>17</v>
      </c>
      <c r="G625" s="9" t="s">
        <v>36</v>
      </c>
      <c r="H625" s="5">
        <v>50</v>
      </c>
      <c r="I625" s="6">
        <v>41155</v>
      </c>
      <c r="J625" s="7">
        <v>102033</v>
      </c>
      <c r="K625" s="9" t="s">
        <v>19</v>
      </c>
      <c r="L625" s="9" t="s">
        <v>51</v>
      </c>
      <c r="M625">
        <f t="shared" ca="1" si="18"/>
        <v>13</v>
      </c>
      <c r="N625">
        <f t="shared" ca="1" si="19"/>
        <v>8</v>
      </c>
    </row>
    <row r="626" spans="1:14" x14ac:dyDescent="0.3">
      <c r="A626" s="5" t="s">
        <v>761</v>
      </c>
      <c r="B626" s="9" t="s">
        <v>762</v>
      </c>
      <c r="C626" s="9" t="s">
        <v>196</v>
      </c>
      <c r="D626" s="9" t="s">
        <v>60</v>
      </c>
      <c r="E626" s="9" t="s">
        <v>25</v>
      </c>
      <c r="F626" s="9" t="s">
        <v>35</v>
      </c>
      <c r="G626" s="9" t="s">
        <v>73</v>
      </c>
      <c r="H626" s="5">
        <v>62</v>
      </c>
      <c r="I626" s="6">
        <v>34616</v>
      </c>
      <c r="J626" s="7">
        <v>98230</v>
      </c>
      <c r="K626" s="9" t="s">
        <v>19</v>
      </c>
      <c r="L626" s="9" t="s">
        <v>45</v>
      </c>
      <c r="M626">
        <f t="shared" ca="1" si="18"/>
        <v>31</v>
      </c>
      <c r="N626">
        <f t="shared" ca="1" si="19"/>
        <v>15</v>
      </c>
    </row>
    <row r="627" spans="1:14" x14ac:dyDescent="0.3">
      <c r="A627" s="5" t="s">
        <v>1086</v>
      </c>
      <c r="B627" s="9" t="s">
        <v>1087</v>
      </c>
      <c r="C627" s="9" t="s">
        <v>23</v>
      </c>
      <c r="D627" s="9" t="s">
        <v>68</v>
      </c>
      <c r="E627" s="9" t="s">
        <v>41</v>
      </c>
      <c r="F627" s="9" t="s">
        <v>35</v>
      </c>
      <c r="G627" s="9" t="s">
        <v>26</v>
      </c>
      <c r="H627" s="5">
        <v>33</v>
      </c>
      <c r="I627" s="6">
        <v>42898</v>
      </c>
      <c r="J627" s="7">
        <v>164396</v>
      </c>
      <c r="K627" s="9" t="s">
        <v>19</v>
      </c>
      <c r="L627" s="9" t="s">
        <v>76</v>
      </c>
      <c r="M627">
        <f t="shared" ca="1" si="18"/>
        <v>8</v>
      </c>
      <c r="N627">
        <f t="shared" ca="1" si="19"/>
        <v>5.5</v>
      </c>
    </row>
    <row r="628" spans="1:14" x14ac:dyDescent="0.3">
      <c r="A628" s="5" t="s">
        <v>235</v>
      </c>
      <c r="B628" s="9" t="s">
        <v>236</v>
      </c>
      <c r="C628" s="9" t="s">
        <v>14</v>
      </c>
      <c r="D628" s="9" t="s">
        <v>15</v>
      </c>
      <c r="E628" s="9" t="s">
        <v>31</v>
      </c>
      <c r="F628" s="9" t="s">
        <v>35</v>
      </c>
      <c r="G628" s="9" t="s">
        <v>26</v>
      </c>
      <c r="H628" s="5">
        <v>37</v>
      </c>
      <c r="I628" s="6">
        <v>41695</v>
      </c>
      <c r="J628" s="7">
        <v>128984</v>
      </c>
      <c r="K628" s="9" t="s">
        <v>19</v>
      </c>
      <c r="L628" s="9" t="s">
        <v>45</v>
      </c>
      <c r="M628">
        <f t="shared" ca="1" si="18"/>
        <v>11</v>
      </c>
      <c r="N628">
        <f t="shared" ca="1" si="19"/>
        <v>5.5</v>
      </c>
    </row>
    <row r="629" spans="1:14" x14ac:dyDescent="0.3">
      <c r="A629" s="5" t="s">
        <v>1132</v>
      </c>
      <c r="B629" s="9" t="s">
        <v>1133</v>
      </c>
      <c r="C629" s="9" t="s">
        <v>577</v>
      </c>
      <c r="D629" s="9" t="s">
        <v>15</v>
      </c>
      <c r="E629" s="9" t="s">
        <v>25</v>
      </c>
      <c r="F629" s="9" t="s">
        <v>17</v>
      </c>
      <c r="G629" s="9" t="s">
        <v>26</v>
      </c>
      <c r="H629" s="5">
        <v>26</v>
      </c>
      <c r="I629" s="6">
        <v>44266</v>
      </c>
      <c r="J629" s="7">
        <v>74170</v>
      </c>
      <c r="K629" s="9" t="s">
        <v>19</v>
      </c>
      <c r="L629" s="9" t="s">
        <v>51</v>
      </c>
      <c r="M629">
        <f t="shared" ca="1" si="18"/>
        <v>4</v>
      </c>
      <c r="N629">
        <f t="shared" ca="1" si="19"/>
        <v>3</v>
      </c>
    </row>
    <row r="630" spans="1:14" x14ac:dyDescent="0.3">
      <c r="A630" s="5" t="s">
        <v>1949</v>
      </c>
      <c r="B630" s="9" t="s">
        <v>1950</v>
      </c>
      <c r="C630" s="9" t="s">
        <v>67</v>
      </c>
      <c r="D630" s="9" t="s">
        <v>68</v>
      </c>
      <c r="E630" s="9" t="s">
        <v>31</v>
      </c>
      <c r="F630" s="9" t="s">
        <v>17</v>
      </c>
      <c r="G630" s="9" t="s">
        <v>73</v>
      </c>
      <c r="H630" s="5">
        <v>37</v>
      </c>
      <c r="I630" s="6">
        <v>40745</v>
      </c>
      <c r="J630" s="7">
        <v>219474</v>
      </c>
      <c r="K630" s="9" t="s">
        <v>1717</v>
      </c>
      <c r="L630" s="9" t="s">
        <v>1718</v>
      </c>
      <c r="M630">
        <f t="shared" ca="1" si="18"/>
        <v>14</v>
      </c>
      <c r="N630">
        <f t="shared" ca="1" si="19"/>
        <v>8</v>
      </c>
    </row>
    <row r="631" spans="1:14" x14ac:dyDescent="0.3">
      <c r="A631" s="5" t="s">
        <v>1876</v>
      </c>
      <c r="B631" s="9" t="s">
        <v>1877</v>
      </c>
      <c r="C631" s="9" t="s">
        <v>116</v>
      </c>
      <c r="D631" s="9" t="s">
        <v>60</v>
      </c>
      <c r="E631" s="9" t="s">
        <v>25</v>
      </c>
      <c r="F631" s="9" t="s">
        <v>35</v>
      </c>
      <c r="G631" s="9" t="s">
        <v>73</v>
      </c>
      <c r="H631" s="5">
        <v>54</v>
      </c>
      <c r="I631" s="6">
        <v>41028</v>
      </c>
      <c r="J631" s="7">
        <v>96441</v>
      </c>
      <c r="K631" s="9" t="s">
        <v>1717</v>
      </c>
      <c r="L631" s="9" t="s">
        <v>1736</v>
      </c>
      <c r="M631">
        <f t="shared" ca="1" si="18"/>
        <v>13</v>
      </c>
      <c r="N631">
        <f t="shared" ca="1" si="19"/>
        <v>8</v>
      </c>
    </row>
    <row r="632" spans="1:14" x14ac:dyDescent="0.3">
      <c r="A632" s="5" t="s">
        <v>554</v>
      </c>
      <c r="B632" s="9" t="s">
        <v>555</v>
      </c>
      <c r="C632" s="9" t="s">
        <v>88</v>
      </c>
      <c r="D632" s="9" t="s">
        <v>15</v>
      </c>
      <c r="E632" s="9" t="s">
        <v>31</v>
      </c>
      <c r="F632" s="9" t="s">
        <v>35</v>
      </c>
      <c r="G632" s="9" t="s">
        <v>18</v>
      </c>
      <c r="H632" s="5">
        <v>42</v>
      </c>
      <c r="I632" s="6">
        <v>38984</v>
      </c>
      <c r="J632" s="7">
        <v>52733</v>
      </c>
      <c r="K632" s="9" t="s">
        <v>19</v>
      </c>
      <c r="L632" s="9" t="s">
        <v>27</v>
      </c>
      <c r="M632">
        <f t="shared" ca="1" si="18"/>
        <v>19</v>
      </c>
      <c r="N632">
        <f t="shared" ca="1" si="19"/>
        <v>9.5</v>
      </c>
    </row>
    <row r="633" spans="1:14" x14ac:dyDescent="0.3">
      <c r="A633" s="5" t="s">
        <v>1455</v>
      </c>
      <c r="B633" s="9" t="s">
        <v>1456</v>
      </c>
      <c r="C633" s="9" t="s">
        <v>23</v>
      </c>
      <c r="D633" s="9" t="s">
        <v>56</v>
      </c>
      <c r="E633" s="9" t="s">
        <v>25</v>
      </c>
      <c r="F633" s="9" t="s">
        <v>35</v>
      </c>
      <c r="G633" s="9" t="s">
        <v>36</v>
      </c>
      <c r="H633" s="5">
        <v>39</v>
      </c>
      <c r="I633" s="6">
        <v>39049</v>
      </c>
      <c r="J633" s="7">
        <v>161690</v>
      </c>
      <c r="K633" s="9" t="s">
        <v>1310</v>
      </c>
      <c r="L633" s="9" t="s">
        <v>1323</v>
      </c>
      <c r="M633">
        <f t="shared" ca="1" si="18"/>
        <v>19</v>
      </c>
      <c r="N633">
        <f t="shared" ca="1" si="19"/>
        <v>9.5</v>
      </c>
    </row>
    <row r="634" spans="1:14" x14ac:dyDescent="0.3">
      <c r="A634" s="5" t="s">
        <v>1252</v>
      </c>
      <c r="B634" s="9" t="s">
        <v>1253</v>
      </c>
      <c r="C634" s="9" t="s">
        <v>14</v>
      </c>
      <c r="D634" s="9" t="s">
        <v>15</v>
      </c>
      <c r="E634" s="9" t="s">
        <v>31</v>
      </c>
      <c r="F634" s="9" t="s">
        <v>17</v>
      </c>
      <c r="G634" s="9" t="s">
        <v>36</v>
      </c>
      <c r="H634" s="5">
        <v>53</v>
      </c>
      <c r="I634" s="6">
        <v>35532</v>
      </c>
      <c r="J634" s="7">
        <v>154388</v>
      </c>
      <c r="K634" s="9" t="s">
        <v>19</v>
      </c>
      <c r="L634" s="9" t="s">
        <v>20</v>
      </c>
      <c r="M634">
        <f t="shared" ca="1" si="18"/>
        <v>28</v>
      </c>
      <c r="N634">
        <f t="shared" ca="1" si="19"/>
        <v>10</v>
      </c>
    </row>
    <row r="635" spans="1:14" x14ac:dyDescent="0.3">
      <c r="A635" s="5" t="s">
        <v>906</v>
      </c>
      <c r="B635" s="9" t="s">
        <v>907</v>
      </c>
      <c r="C635" s="9" t="s">
        <v>181</v>
      </c>
      <c r="D635" s="9" t="s">
        <v>79</v>
      </c>
      <c r="E635" s="9" t="s">
        <v>31</v>
      </c>
      <c r="F635" s="9" t="s">
        <v>17</v>
      </c>
      <c r="G635" s="9" t="s">
        <v>36</v>
      </c>
      <c r="H635" s="5">
        <v>63</v>
      </c>
      <c r="I635" s="6">
        <v>43004</v>
      </c>
      <c r="J635" s="7">
        <v>72340</v>
      </c>
      <c r="K635" s="9" t="s">
        <v>19</v>
      </c>
      <c r="L635" s="9" t="s">
        <v>37</v>
      </c>
      <c r="M635">
        <f t="shared" ca="1" si="18"/>
        <v>8</v>
      </c>
      <c r="N635">
        <f t="shared" ca="1" si="19"/>
        <v>5.5</v>
      </c>
    </row>
    <row r="636" spans="1:14" x14ac:dyDescent="0.3">
      <c r="A636" s="5" t="s">
        <v>1551</v>
      </c>
      <c r="B636" s="9" t="s">
        <v>1552</v>
      </c>
      <c r="C636" s="9" t="s">
        <v>196</v>
      </c>
      <c r="D636" s="9" t="s">
        <v>60</v>
      </c>
      <c r="E636" s="9" t="s">
        <v>31</v>
      </c>
      <c r="F636" s="9" t="s">
        <v>35</v>
      </c>
      <c r="G636" s="9" t="s">
        <v>36</v>
      </c>
      <c r="H636" s="5">
        <v>60</v>
      </c>
      <c r="I636" s="6">
        <v>39944</v>
      </c>
      <c r="J636" s="7">
        <v>62239</v>
      </c>
      <c r="K636" s="9" t="s">
        <v>1310</v>
      </c>
      <c r="L636" s="9" t="s">
        <v>1323</v>
      </c>
      <c r="M636">
        <f t="shared" ca="1" si="18"/>
        <v>16</v>
      </c>
      <c r="N636">
        <f t="shared" ca="1" si="19"/>
        <v>8</v>
      </c>
    </row>
    <row r="637" spans="1:14" x14ac:dyDescent="0.3">
      <c r="A637" s="5" t="s">
        <v>301</v>
      </c>
      <c r="B637" s="9" t="s">
        <v>302</v>
      </c>
      <c r="C637" s="9" t="s">
        <v>14</v>
      </c>
      <c r="D637" s="9" t="s">
        <v>79</v>
      </c>
      <c r="E637" s="9" t="s">
        <v>25</v>
      </c>
      <c r="F637" s="9" t="s">
        <v>35</v>
      </c>
      <c r="G637" s="9" t="s">
        <v>26</v>
      </c>
      <c r="H637" s="5">
        <v>50</v>
      </c>
      <c r="I637" s="6">
        <v>37705</v>
      </c>
      <c r="J637" s="7">
        <v>123405</v>
      </c>
      <c r="K637" s="9" t="s">
        <v>19</v>
      </c>
      <c r="L637" s="9" t="s">
        <v>76</v>
      </c>
      <c r="M637">
        <f t="shared" ca="1" si="18"/>
        <v>22</v>
      </c>
      <c r="N637">
        <f t="shared" ca="1" si="19"/>
        <v>9.5</v>
      </c>
    </row>
    <row r="638" spans="1:14" x14ac:dyDescent="0.3">
      <c r="A638" s="5" t="s">
        <v>925</v>
      </c>
      <c r="B638" s="9" t="s">
        <v>926</v>
      </c>
      <c r="C638" s="9" t="s">
        <v>40</v>
      </c>
      <c r="D638" s="9" t="s">
        <v>50</v>
      </c>
      <c r="E638" s="9" t="s">
        <v>16</v>
      </c>
      <c r="F638" s="9" t="s">
        <v>35</v>
      </c>
      <c r="G638" s="9" t="s">
        <v>73</v>
      </c>
      <c r="H638" s="5">
        <v>34</v>
      </c>
      <c r="I638" s="6">
        <v>43255</v>
      </c>
      <c r="J638" s="7">
        <v>128329</v>
      </c>
      <c r="K638" s="9" t="s">
        <v>19</v>
      </c>
      <c r="L638" s="9" t="s">
        <v>37</v>
      </c>
      <c r="M638">
        <f t="shared" ca="1" si="18"/>
        <v>7</v>
      </c>
      <c r="N638">
        <f t="shared" ca="1" si="19"/>
        <v>4</v>
      </c>
    </row>
    <row r="639" spans="1:14" x14ac:dyDescent="0.3">
      <c r="A639" s="5" t="s">
        <v>687</v>
      </c>
      <c r="B639" s="9" t="s">
        <v>688</v>
      </c>
      <c r="C639" s="9" t="s">
        <v>88</v>
      </c>
      <c r="D639" s="9" t="s">
        <v>15</v>
      </c>
      <c r="E639" s="9" t="s">
        <v>16</v>
      </c>
      <c r="F639" s="9" t="s">
        <v>35</v>
      </c>
      <c r="G639" s="9" t="s">
        <v>26</v>
      </c>
      <c r="H639" s="5">
        <v>45</v>
      </c>
      <c r="I639" s="6">
        <v>43248</v>
      </c>
      <c r="J639" s="7">
        <v>49219</v>
      </c>
      <c r="K639" s="9" t="s">
        <v>19</v>
      </c>
      <c r="L639" s="9" t="s">
        <v>76</v>
      </c>
      <c r="M639">
        <f t="shared" ca="1" si="18"/>
        <v>7</v>
      </c>
      <c r="N639">
        <f t="shared" ca="1" si="19"/>
        <v>4</v>
      </c>
    </row>
    <row r="640" spans="1:14" x14ac:dyDescent="0.3">
      <c r="A640" s="5" t="s">
        <v>637</v>
      </c>
      <c r="B640" s="9" t="s">
        <v>638</v>
      </c>
      <c r="C640" s="9" t="s">
        <v>67</v>
      </c>
      <c r="D640" s="9" t="s">
        <v>24</v>
      </c>
      <c r="E640" s="9" t="s">
        <v>41</v>
      </c>
      <c r="F640" s="9" t="s">
        <v>35</v>
      </c>
      <c r="G640" s="9" t="s">
        <v>26</v>
      </c>
      <c r="H640" s="5">
        <v>28</v>
      </c>
      <c r="I640" s="6">
        <v>43638</v>
      </c>
      <c r="J640" s="7">
        <v>250767</v>
      </c>
      <c r="K640" s="9" t="s">
        <v>19</v>
      </c>
      <c r="L640" s="9" t="s">
        <v>20</v>
      </c>
      <c r="M640">
        <f t="shared" ca="1" si="18"/>
        <v>6</v>
      </c>
      <c r="N640">
        <f t="shared" ca="1" si="19"/>
        <v>4</v>
      </c>
    </row>
    <row r="641" spans="1:14" x14ac:dyDescent="0.3">
      <c r="A641" s="5" t="s">
        <v>969</v>
      </c>
      <c r="B641" s="9" t="s">
        <v>970</v>
      </c>
      <c r="C641" s="9" t="s">
        <v>88</v>
      </c>
      <c r="D641" s="9" t="s">
        <v>15</v>
      </c>
      <c r="E641" s="9" t="s">
        <v>25</v>
      </c>
      <c r="F641" s="9" t="s">
        <v>35</v>
      </c>
      <c r="G641" s="9" t="s">
        <v>26</v>
      </c>
      <c r="H641" s="5">
        <v>38</v>
      </c>
      <c r="I641" s="6">
        <v>42113</v>
      </c>
      <c r="J641" s="7">
        <v>48762</v>
      </c>
      <c r="K641" s="9" t="s">
        <v>19</v>
      </c>
      <c r="L641" s="9" t="s">
        <v>20</v>
      </c>
      <c r="M641">
        <f t="shared" ca="1" si="18"/>
        <v>10</v>
      </c>
      <c r="N641">
        <f t="shared" ca="1" si="19"/>
        <v>5.5</v>
      </c>
    </row>
    <row r="642" spans="1:14" x14ac:dyDescent="0.3">
      <c r="A642" s="5" t="s">
        <v>1939</v>
      </c>
      <c r="B642" s="9" t="s">
        <v>1940</v>
      </c>
      <c r="C642" s="9" t="s">
        <v>67</v>
      </c>
      <c r="D642" s="9" t="s">
        <v>15</v>
      </c>
      <c r="E642" s="9" t="s">
        <v>16</v>
      </c>
      <c r="F642" s="9" t="s">
        <v>35</v>
      </c>
      <c r="G642" s="9" t="s">
        <v>73</v>
      </c>
      <c r="H642" s="5">
        <v>42</v>
      </c>
      <c r="I642" s="6">
        <v>40511</v>
      </c>
      <c r="J642" s="7">
        <v>186725</v>
      </c>
      <c r="K642" s="9" t="s">
        <v>1717</v>
      </c>
      <c r="L642" s="9" t="s">
        <v>1718</v>
      </c>
      <c r="M642">
        <f t="shared" ca="1" si="18"/>
        <v>15</v>
      </c>
      <c r="N642">
        <f t="shared" ca="1" si="19"/>
        <v>8</v>
      </c>
    </row>
    <row r="643" spans="1:14" x14ac:dyDescent="0.3">
      <c r="A643" s="5" t="s">
        <v>92</v>
      </c>
      <c r="B643" s="9" t="s">
        <v>1286</v>
      </c>
      <c r="C643" s="9" t="s">
        <v>67</v>
      </c>
      <c r="D643" s="9" t="s">
        <v>15</v>
      </c>
      <c r="E643" s="9" t="s">
        <v>25</v>
      </c>
      <c r="F643" s="9" t="s">
        <v>17</v>
      </c>
      <c r="G643" s="9" t="s">
        <v>36</v>
      </c>
      <c r="H643" s="5">
        <v>57</v>
      </c>
      <c r="I643" s="6">
        <v>42685</v>
      </c>
      <c r="J643" s="7">
        <v>246589</v>
      </c>
      <c r="K643" s="9" t="s">
        <v>19</v>
      </c>
      <c r="L643" s="9" t="s">
        <v>37</v>
      </c>
      <c r="M643">
        <f t="shared" ref="M643:M706" ca="1" si="20">DATEDIF(I643,TODAY(),"Y")</f>
        <v>9</v>
      </c>
      <c r="N643">
        <f t="shared" ref="N643:N706" ca="1" si="21">_xlfn.XLOOKUP(M643,$Q$3:$Q$11,$R$3:$R$11,0,-1)</f>
        <v>5.5</v>
      </c>
    </row>
    <row r="644" spans="1:14" x14ac:dyDescent="0.3">
      <c r="A644" s="5" t="s">
        <v>92</v>
      </c>
      <c r="B644" s="9" t="s">
        <v>93</v>
      </c>
      <c r="C644" s="9" t="s">
        <v>44</v>
      </c>
      <c r="D644" s="9" t="s">
        <v>24</v>
      </c>
      <c r="E644" s="9" t="s">
        <v>16</v>
      </c>
      <c r="F644" s="9" t="s">
        <v>17</v>
      </c>
      <c r="G644" s="9" t="s">
        <v>26</v>
      </c>
      <c r="H644" s="5">
        <v>27</v>
      </c>
      <c r="I644" s="6">
        <v>43226</v>
      </c>
      <c r="J644" s="7">
        <v>49011</v>
      </c>
      <c r="K644" s="9" t="s">
        <v>19</v>
      </c>
      <c r="L644" s="9" t="s">
        <v>27</v>
      </c>
      <c r="M644">
        <f t="shared" ca="1" si="20"/>
        <v>7</v>
      </c>
      <c r="N644">
        <f t="shared" ca="1" si="21"/>
        <v>4</v>
      </c>
    </row>
    <row r="645" spans="1:14" x14ac:dyDescent="0.3">
      <c r="A645" s="5" t="s">
        <v>1019</v>
      </c>
      <c r="B645" s="9" t="s">
        <v>1020</v>
      </c>
      <c r="C645" s="9" t="s">
        <v>14</v>
      </c>
      <c r="D645" s="9" t="s">
        <v>15</v>
      </c>
      <c r="E645" s="9" t="s">
        <v>25</v>
      </c>
      <c r="F645" s="9" t="s">
        <v>17</v>
      </c>
      <c r="G645" s="9" t="s">
        <v>26</v>
      </c>
      <c r="H645" s="5">
        <v>43</v>
      </c>
      <c r="I645" s="6">
        <v>42090</v>
      </c>
      <c r="J645" s="7">
        <v>120321</v>
      </c>
      <c r="K645" s="9" t="s">
        <v>19</v>
      </c>
      <c r="L645" s="9" t="s">
        <v>51</v>
      </c>
      <c r="M645">
        <f t="shared" ca="1" si="20"/>
        <v>10</v>
      </c>
      <c r="N645">
        <f t="shared" ca="1" si="21"/>
        <v>5.5</v>
      </c>
    </row>
    <row r="646" spans="1:14" x14ac:dyDescent="0.3">
      <c r="A646" s="5" t="s">
        <v>484</v>
      </c>
      <c r="B646" s="9" t="s">
        <v>485</v>
      </c>
      <c r="C646" s="9" t="s">
        <v>23</v>
      </c>
      <c r="D646" s="9" t="s">
        <v>79</v>
      </c>
      <c r="E646" s="9" t="s">
        <v>31</v>
      </c>
      <c r="F646" s="9" t="s">
        <v>17</v>
      </c>
      <c r="G646" s="9" t="s">
        <v>73</v>
      </c>
      <c r="H646" s="5">
        <v>50</v>
      </c>
      <c r="I646" s="6">
        <v>43452</v>
      </c>
      <c r="J646" s="7">
        <v>155351</v>
      </c>
      <c r="K646" s="9" t="s">
        <v>19</v>
      </c>
      <c r="L646" s="9" t="s">
        <v>20</v>
      </c>
      <c r="M646">
        <f t="shared" ca="1" si="20"/>
        <v>6</v>
      </c>
      <c r="N646">
        <f t="shared" ca="1" si="21"/>
        <v>4</v>
      </c>
    </row>
    <row r="647" spans="1:14" x14ac:dyDescent="0.3">
      <c r="A647" s="5" t="s">
        <v>1415</v>
      </c>
      <c r="B647" s="9" t="s">
        <v>1416</v>
      </c>
      <c r="C647" s="9" t="s">
        <v>40</v>
      </c>
      <c r="D647" s="9" t="s">
        <v>24</v>
      </c>
      <c r="E647" s="9" t="s">
        <v>31</v>
      </c>
      <c r="F647" s="9" t="s">
        <v>35</v>
      </c>
      <c r="G647" s="9" t="s">
        <v>36</v>
      </c>
      <c r="H647" s="5">
        <v>64</v>
      </c>
      <c r="I647" s="6">
        <v>35996</v>
      </c>
      <c r="J647" s="7">
        <v>122753</v>
      </c>
      <c r="K647" s="9" t="s">
        <v>1310</v>
      </c>
      <c r="L647" s="9" t="s">
        <v>1311</v>
      </c>
      <c r="M647">
        <f t="shared" ca="1" si="20"/>
        <v>27</v>
      </c>
      <c r="N647">
        <f t="shared" ca="1" si="21"/>
        <v>10</v>
      </c>
    </row>
    <row r="648" spans="1:14" x14ac:dyDescent="0.3">
      <c r="A648" s="5" t="s">
        <v>545</v>
      </c>
      <c r="B648" s="9" t="s">
        <v>546</v>
      </c>
      <c r="C648" s="9" t="s">
        <v>211</v>
      </c>
      <c r="D648" s="9" t="s">
        <v>15</v>
      </c>
      <c r="E648" s="9" t="s">
        <v>25</v>
      </c>
      <c r="F648" s="9" t="s">
        <v>35</v>
      </c>
      <c r="G648" s="9" t="s">
        <v>26</v>
      </c>
      <c r="H648" s="5">
        <v>43</v>
      </c>
      <c r="I648" s="6">
        <v>42467</v>
      </c>
      <c r="J648" s="7">
        <v>67976</v>
      </c>
      <c r="K648" s="9" t="s">
        <v>19</v>
      </c>
      <c r="L648" s="9" t="s">
        <v>20</v>
      </c>
      <c r="M648">
        <f t="shared" ca="1" si="20"/>
        <v>9</v>
      </c>
      <c r="N648">
        <f t="shared" ca="1" si="21"/>
        <v>5.5</v>
      </c>
    </row>
    <row r="649" spans="1:14" x14ac:dyDescent="0.3">
      <c r="A649" s="5" t="s">
        <v>951</v>
      </c>
      <c r="B649" s="9" t="s">
        <v>952</v>
      </c>
      <c r="C649" s="9" t="s">
        <v>91</v>
      </c>
      <c r="D649" s="9" t="s">
        <v>68</v>
      </c>
      <c r="E649" s="9" t="s">
        <v>31</v>
      </c>
      <c r="F649" s="9" t="s">
        <v>35</v>
      </c>
      <c r="G649" s="9" t="s">
        <v>26</v>
      </c>
      <c r="H649" s="5">
        <v>65</v>
      </c>
      <c r="I649" s="6">
        <v>38584</v>
      </c>
      <c r="J649" s="7">
        <v>59833</v>
      </c>
      <c r="K649" s="9" t="s">
        <v>19</v>
      </c>
      <c r="L649" s="9" t="s">
        <v>76</v>
      </c>
      <c r="M649">
        <f t="shared" ca="1" si="20"/>
        <v>20</v>
      </c>
      <c r="N649">
        <f t="shared" ca="1" si="21"/>
        <v>9.5</v>
      </c>
    </row>
    <row r="650" spans="1:14" x14ac:dyDescent="0.3">
      <c r="A650" s="5" t="s">
        <v>363</v>
      </c>
      <c r="B650" s="9" t="s">
        <v>502</v>
      </c>
      <c r="C650" s="9" t="s">
        <v>67</v>
      </c>
      <c r="D650" s="9" t="s">
        <v>15</v>
      </c>
      <c r="E650" s="9" t="s">
        <v>41</v>
      </c>
      <c r="F650" s="9" t="s">
        <v>17</v>
      </c>
      <c r="G650" s="9" t="s">
        <v>26</v>
      </c>
      <c r="H650" s="5">
        <v>48</v>
      </c>
      <c r="I650" s="6">
        <v>42053</v>
      </c>
      <c r="J650" s="7">
        <v>194871</v>
      </c>
      <c r="K650" s="9" t="s">
        <v>19</v>
      </c>
      <c r="L650" s="9" t="s">
        <v>76</v>
      </c>
      <c r="M650">
        <f t="shared" ca="1" si="20"/>
        <v>10</v>
      </c>
      <c r="N650">
        <f t="shared" ca="1" si="21"/>
        <v>5.5</v>
      </c>
    </row>
    <row r="651" spans="1:14" x14ac:dyDescent="0.3">
      <c r="A651" s="5" t="s">
        <v>363</v>
      </c>
      <c r="B651" s="9" t="s">
        <v>364</v>
      </c>
      <c r="C651" s="9" t="s">
        <v>191</v>
      </c>
      <c r="D651" s="9" t="s">
        <v>60</v>
      </c>
      <c r="E651" s="9" t="s">
        <v>16</v>
      </c>
      <c r="F651" s="9" t="s">
        <v>17</v>
      </c>
      <c r="G651" s="9" t="s">
        <v>73</v>
      </c>
      <c r="H651" s="5">
        <v>42</v>
      </c>
      <c r="I651" s="6">
        <v>43062</v>
      </c>
      <c r="J651" s="7">
        <v>96023</v>
      </c>
      <c r="K651" s="9" t="s">
        <v>19</v>
      </c>
      <c r="L651" s="9" t="s">
        <v>45</v>
      </c>
      <c r="M651">
        <f t="shared" ca="1" si="20"/>
        <v>8</v>
      </c>
      <c r="N651">
        <f t="shared" ca="1" si="21"/>
        <v>5.5</v>
      </c>
    </row>
    <row r="652" spans="1:14" x14ac:dyDescent="0.3">
      <c r="A652" s="5" t="s">
        <v>1394</v>
      </c>
      <c r="B652" s="9" t="s">
        <v>1395</v>
      </c>
      <c r="C652" s="9" t="s">
        <v>178</v>
      </c>
      <c r="D652" s="9" t="s">
        <v>15</v>
      </c>
      <c r="E652" s="9" t="s">
        <v>31</v>
      </c>
      <c r="F652" s="9" t="s">
        <v>17</v>
      </c>
      <c r="G652" s="9" t="s">
        <v>36</v>
      </c>
      <c r="H652" s="5">
        <v>50</v>
      </c>
      <c r="I652" s="6">
        <v>36914</v>
      </c>
      <c r="J652" s="7">
        <v>97537</v>
      </c>
      <c r="K652" s="9" t="s">
        <v>1310</v>
      </c>
      <c r="L652" s="9" t="s">
        <v>1330</v>
      </c>
      <c r="M652">
        <f t="shared" ca="1" si="20"/>
        <v>24</v>
      </c>
      <c r="N652">
        <f t="shared" ca="1" si="21"/>
        <v>9.5</v>
      </c>
    </row>
    <row r="653" spans="1:14" x14ac:dyDescent="0.3">
      <c r="A653" s="5" t="s">
        <v>1595</v>
      </c>
      <c r="B653" s="9" t="s">
        <v>1596</v>
      </c>
      <c r="C653" s="9" t="s">
        <v>91</v>
      </c>
      <c r="D653" s="9" t="s">
        <v>79</v>
      </c>
      <c r="E653" s="9" t="s">
        <v>16</v>
      </c>
      <c r="F653" s="9" t="s">
        <v>35</v>
      </c>
      <c r="G653" s="9" t="s">
        <v>36</v>
      </c>
      <c r="H653" s="5">
        <v>41</v>
      </c>
      <c r="I653" s="6">
        <v>40333</v>
      </c>
      <c r="J653" s="7">
        <v>72425</v>
      </c>
      <c r="K653" s="9" t="s">
        <v>1310</v>
      </c>
      <c r="L653" s="9" t="s">
        <v>1323</v>
      </c>
      <c r="M653">
        <f t="shared" ca="1" si="20"/>
        <v>15</v>
      </c>
      <c r="N653">
        <f t="shared" ca="1" si="21"/>
        <v>8</v>
      </c>
    </row>
    <row r="654" spans="1:14" x14ac:dyDescent="0.3">
      <c r="A654" s="5" t="s">
        <v>1499</v>
      </c>
      <c r="B654" s="9" t="s">
        <v>1500</v>
      </c>
      <c r="C654" s="9" t="s">
        <v>14</v>
      </c>
      <c r="D654" s="9" t="s">
        <v>68</v>
      </c>
      <c r="E654" s="9" t="s">
        <v>25</v>
      </c>
      <c r="F654" s="9" t="s">
        <v>17</v>
      </c>
      <c r="G654" s="9" t="s">
        <v>36</v>
      </c>
      <c r="H654" s="5">
        <v>31</v>
      </c>
      <c r="I654" s="6">
        <v>43695</v>
      </c>
      <c r="J654" s="7">
        <v>126353</v>
      </c>
      <c r="K654" s="9" t="s">
        <v>1310</v>
      </c>
      <c r="L654" s="9" t="s">
        <v>1316</v>
      </c>
      <c r="M654">
        <f t="shared" ca="1" si="20"/>
        <v>6</v>
      </c>
      <c r="N654">
        <f t="shared" ca="1" si="21"/>
        <v>4</v>
      </c>
    </row>
    <row r="655" spans="1:14" x14ac:dyDescent="0.3">
      <c r="A655" s="5" t="s">
        <v>1116</v>
      </c>
      <c r="B655" s="9" t="s">
        <v>1117</v>
      </c>
      <c r="C655" s="9" t="s">
        <v>451</v>
      </c>
      <c r="D655" s="9" t="s">
        <v>15</v>
      </c>
      <c r="E655" s="9" t="s">
        <v>25</v>
      </c>
      <c r="F655" s="9" t="s">
        <v>17</v>
      </c>
      <c r="G655" s="9" t="s">
        <v>26</v>
      </c>
      <c r="H655" s="5">
        <v>45</v>
      </c>
      <c r="I655" s="6">
        <v>43042</v>
      </c>
      <c r="J655" s="7">
        <v>66660</v>
      </c>
      <c r="K655" s="9" t="s">
        <v>19</v>
      </c>
      <c r="L655" s="9" t="s">
        <v>51</v>
      </c>
      <c r="M655">
        <f t="shared" ca="1" si="20"/>
        <v>8</v>
      </c>
      <c r="N655">
        <f t="shared" ca="1" si="21"/>
        <v>5.5</v>
      </c>
    </row>
    <row r="656" spans="1:14" x14ac:dyDescent="0.3">
      <c r="A656" s="5" t="s">
        <v>1116</v>
      </c>
      <c r="B656" s="9" t="s">
        <v>1261</v>
      </c>
      <c r="C656" s="9" t="s">
        <v>23</v>
      </c>
      <c r="D656" s="9" t="s">
        <v>79</v>
      </c>
      <c r="E656" s="9" t="s">
        <v>16</v>
      </c>
      <c r="F656" s="9" t="s">
        <v>35</v>
      </c>
      <c r="G656" s="9" t="s">
        <v>36</v>
      </c>
      <c r="H656" s="5">
        <v>27</v>
      </c>
      <c r="I656" s="6">
        <v>43776</v>
      </c>
      <c r="J656" s="7">
        <v>174607</v>
      </c>
      <c r="K656" s="9" t="s">
        <v>19</v>
      </c>
      <c r="L656" s="9" t="s">
        <v>76</v>
      </c>
      <c r="M656">
        <f t="shared" ca="1" si="20"/>
        <v>6</v>
      </c>
      <c r="N656">
        <f t="shared" ca="1" si="21"/>
        <v>4</v>
      </c>
    </row>
    <row r="657" spans="1:14" x14ac:dyDescent="0.3">
      <c r="A657" s="5" t="s">
        <v>1063</v>
      </c>
      <c r="B657" s="9" t="s">
        <v>1064</v>
      </c>
      <c r="C657" s="9" t="s">
        <v>67</v>
      </c>
      <c r="D657" s="9" t="s">
        <v>50</v>
      </c>
      <c r="E657" s="9" t="s">
        <v>31</v>
      </c>
      <c r="F657" s="9" t="s">
        <v>35</v>
      </c>
      <c r="G657" s="9" t="s">
        <v>36</v>
      </c>
      <c r="H657" s="5">
        <v>64</v>
      </c>
      <c r="I657" s="6">
        <v>41362</v>
      </c>
      <c r="J657" s="7">
        <v>252325</v>
      </c>
      <c r="K657" s="9" t="s">
        <v>19</v>
      </c>
      <c r="L657" s="9" t="s">
        <v>76</v>
      </c>
      <c r="M657">
        <f t="shared" ca="1" si="20"/>
        <v>12</v>
      </c>
      <c r="N657">
        <f t="shared" ca="1" si="21"/>
        <v>8</v>
      </c>
    </row>
    <row r="658" spans="1:14" x14ac:dyDescent="0.3">
      <c r="A658" s="5" t="s">
        <v>471</v>
      </c>
      <c r="B658" s="9" t="s">
        <v>472</v>
      </c>
      <c r="C658" s="9" t="s">
        <v>30</v>
      </c>
      <c r="D658" s="9" t="s">
        <v>15</v>
      </c>
      <c r="E658" s="9" t="s">
        <v>25</v>
      </c>
      <c r="F658" s="9" t="s">
        <v>17</v>
      </c>
      <c r="G658" s="9" t="s">
        <v>18</v>
      </c>
      <c r="H658" s="5">
        <v>45</v>
      </c>
      <c r="I658" s="6">
        <v>43185</v>
      </c>
      <c r="J658" s="7">
        <v>86478</v>
      </c>
      <c r="K658" s="9" t="s">
        <v>19</v>
      </c>
      <c r="L658" s="9" t="s">
        <v>51</v>
      </c>
      <c r="M658">
        <f t="shared" ca="1" si="20"/>
        <v>7</v>
      </c>
      <c r="N658">
        <f t="shared" ca="1" si="21"/>
        <v>4</v>
      </c>
    </row>
    <row r="659" spans="1:14" x14ac:dyDescent="0.3">
      <c r="A659" s="5" t="s">
        <v>1177</v>
      </c>
      <c r="B659" s="9" t="s">
        <v>1178</v>
      </c>
      <c r="C659" s="9" t="s">
        <v>451</v>
      </c>
      <c r="D659" s="9" t="s">
        <v>15</v>
      </c>
      <c r="E659" s="9" t="s">
        <v>25</v>
      </c>
      <c r="F659" s="9" t="s">
        <v>17</v>
      </c>
      <c r="G659" s="9" t="s">
        <v>36</v>
      </c>
      <c r="H659" s="5">
        <v>39</v>
      </c>
      <c r="I659" s="6">
        <v>43943</v>
      </c>
      <c r="J659" s="7">
        <v>90535</v>
      </c>
      <c r="K659" s="9" t="s">
        <v>19</v>
      </c>
      <c r="L659" s="9" t="s">
        <v>45</v>
      </c>
      <c r="M659">
        <f t="shared" ca="1" si="20"/>
        <v>5</v>
      </c>
      <c r="N659">
        <f t="shared" ca="1" si="21"/>
        <v>3</v>
      </c>
    </row>
    <row r="660" spans="1:14" x14ac:dyDescent="0.3">
      <c r="A660" s="5" t="s">
        <v>1431</v>
      </c>
      <c r="B660" s="9" t="s">
        <v>1432</v>
      </c>
      <c r="C660" s="9" t="s">
        <v>44</v>
      </c>
      <c r="D660" s="9" t="s">
        <v>68</v>
      </c>
      <c r="E660" s="9" t="s">
        <v>31</v>
      </c>
      <c r="F660" s="9" t="s">
        <v>17</v>
      </c>
      <c r="G660" s="9" t="s">
        <v>36</v>
      </c>
      <c r="H660" s="5">
        <v>65</v>
      </c>
      <c r="I660" s="6">
        <v>41543</v>
      </c>
      <c r="J660" s="7">
        <v>50341</v>
      </c>
      <c r="K660" s="9" t="s">
        <v>1310</v>
      </c>
      <c r="L660" s="9" t="s">
        <v>1323</v>
      </c>
      <c r="M660">
        <f t="shared" ca="1" si="20"/>
        <v>12</v>
      </c>
      <c r="N660">
        <f t="shared" ca="1" si="21"/>
        <v>8</v>
      </c>
    </row>
    <row r="661" spans="1:14" x14ac:dyDescent="0.3">
      <c r="A661" s="5" t="s">
        <v>723</v>
      </c>
      <c r="B661" s="9" t="s">
        <v>1696</v>
      </c>
      <c r="C661" s="9" t="s">
        <v>91</v>
      </c>
      <c r="D661" s="9" t="s">
        <v>50</v>
      </c>
      <c r="E661" s="9" t="s">
        <v>41</v>
      </c>
      <c r="F661" s="9" t="s">
        <v>35</v>
      </c>
      <c r="G661" s="9" t="s">
        <v>36</v>
      </c>
      <c r="H661" s="5">
        <v>49</v>
      </c>
      <c r="I661" s="6">
        <v>43671</v>
      </c>
      <c r="J661" s="7">
        <v>50883</v>
      </c>
      <c r="K661" s="9" t="s">
        <v>1310</v>
      </c>
      <c r="L661" s="9" t="s">
        <v>1311</v>
      </c>
      <c r="M661">
        <f t="shared" ca="1" si="20"/>
        <v>6</v>
      </c>
      <c r="N661">
        <f t="shared" ca="1" si="21"/>
        <v>4</v>
      </c>
    </row>
    <row r="662" spans="1:14" x14ac:dyDescent="0.3">
      <c r="A662" s="5" t="s">
        <v>723</v>
      </c>
      <c r="B662" s="9" t="s">
        <v>724</v>
      </c>
      <c r="C662" s="9" t="s">
        <v>40</v>
      </c>
      <c r="D662" s="9" t="s">
        <v>50</v>
      </c>
      <c r="E662" s="9" t="s">
        <v>25</v>
      </c>
      <c r="F662" s="9" t="s">
        <v>17</v>
      </c>
      <c r="G662" s="9" t="s">
        <v>26</v>
      </c>
      <c r="H662" s="5">
        <v>31</v>
      </c>
      <c r="I662" s="6">
        <v>41919</v>
      </c>
      <c r="J662" s="7">
        <v>114911</v>
      </c>
      <c r="K662" s="9" t="s">
        <v>19</v>
      </c>
      <c r="L662" s="9" t="s">
        <v>27</v>
      </c>
      <c r="M662">
        <f t="shared" ca="1" si="20"/>
        <v>11</v>
      </c>
      <c r="N662">
        <f t="shared" ca="1" si="21"/>
        <v>5.5</v>
      </c>
    </row>
    <row r="663" spans="1:14" x14ac:dyDescent="0.3">
      <c r="A663" s="5" t="s">
        <v>1110</v>
      </c>
      <c r="B663" s="9" t="s">
        <v>1111</v>
      </c>
      <c r="C663" s="9" t="s">
        <v>23</v>
      </c>
      <c r="D663" s="9" t="s">
        <v>60</v>
      </c>
      <c r="E663" s="9" t="s">
        <v>25</v>
      </c>
      <c r="F663" s="9" t="s">
        <v>35</v>
      </c>
      <c r="G663" s="9" t="s">
        <v>26</v>
      </c>
      <c r="H663" s="5">
        <v>45</v>
      </c>
      <c r="I663" s="6">
        <v>40511</v>
      </c>
      <c r="J663" s="7">
        <v>153767</v>
      </c>
      <c r="K663" s="9" t="s">
        <v>19</v>
      </c>
      <c r="L663" s="9" t="s">
        <v>37</v>
      </c>
      <c r="M663">
        <f t="shared" ca="1" si="20"/>
        <v>15</v>
      </c>
      <c r="N663">
        <f t="shared" ca="1" si="21"/>
        <v>8</v>
      </c>
    </row>
    <row r="664" spans="1:14" x14ac:dyDescent="0.3">
      <c r="A664" s="5" t="s">
        <v>443</v>
      </c>
      <c r="B664" s="9" t="s">
        <v>444</v>
      </c>
      <c r="C664" s="9" t="s">
        <v>121</v>
      </c>
      <c r="D664" s="9" t="s">
        <v>56</v>
      </c>
      <c r="E664" s="9" t="s">
        <v>41</v>
      </c>
      <c r="F664" s="9" t="s">
        <v>35</v>
      </c>
      <c r="G664" s="9" t="s">
        <v>26</v>
      </c>
      <c r="H664" s="5">
        <v>62</v>
      </c>
      <c r="I664" s="6">
        <v>38271</v>
      </c>
      <c r="J664" s="7">
        <v>50825</v>
      </c>
      <c r="K664" s="9" t="s">
        <v>19</v>
      </c>
      <c r="L664" s="9" t="s">
        <v>20</v>
      </c>
      <c r="M664">
        <f t="shared" ca="1" si="20"/>
        <v>21</v>
      </c>
      <c r="N664">
        <f t="shared" ca="1" si="21"/>
        <v>9.5</v>
      </c>
    </row>
    <row r="665" spans="1:14" x14ac:dyDescent="0.3">
      <c r="A665" s="5" t="s">
        <v>1473</v>
      </c>
      <c r="B665" s="9" t="s">
        <v>1474</v>
      </c>
      <c r="C665" s="9" t="s">
        <v>14</v>
      </c>
      <c r="D665" s="9" t="s">
        <v>50</v>
      </c>
      <c r="E665" s="9" t="s">
        <v>16</v>
      </c>
      <c r="F665" s="9" t="s">
        <v>17</v>
      </c>
      <c r="G665" s="9" t="s">
        <v>36</v>
      </c>
      <c r="H665" s="5">
        <v>55</v>
      </c>
      <c r="I665" s="6">
        <v>38888</v>
      </c>
      <c r="J665" s="7">
        <v>142628</v>
      </c>
      <c r="K665" s="9" t="s">
        <v>1310</v>
      </c>
      <c r="L665" s="9" t="s">
        <v>1311</v>
      </c>
      <c r="M665">
        <f t="shared" ca="1" si="20"/>
        <v>19</v>
      </c>
      <c r="N665">
        <f t="shared" ca="1" si="21"/>
        <v>9.5</v>
      </c>
    </row>
    <row r="666" spans="1:14" x14ac:dyDescent="0.3">
      <c r="A666" s="5" t="s">
        <v>539</v>
      </c>
      <c r="B666" s="9" t="s">
        <v>540</v>
      </c>
      <c r="C666" s="9" t="s">
        <v>40</v>
      </c>
      <c r="D666" s="9" t="s">
        <v>15</v>
      </c>
      <c r="E666" s="9" t="s">
        <v>16</v>
      </c>
      <c r="F666" s="9" t="s">
        <v>17</v>
      </c>
      <c r="G666" s="9" t="s">
        <v>26</v>
      </c>
      <c r="H666" s="5">
        <v>57</v>
      </c>
      <c r="I666" s="6">
        <v>43948</v>
      </c>
      <c r="J666" s="7">
        <v>103058</v>
      </c>
      <c r="K666" s="9" t="s">
        <v>19</v>
      </c>
      <c r="L666" s="9" t="s">
        <v>76</v>
      </c>
      <c r="M666">
        <f t="shared" ca="1" si="20"/>
        <v>5</v>
      </c>
      <c r="N666">
        <f t="shared" ca="1" si="21"/>
        <v>3</v>
      </c>
    </row>
    <row r="667" spans="1:14" x14ac:dyDescent="0.3">
      <c r="A667" s="5" t="s">
        <v>1659</v>
      </c>
      <c r="B667" s="9" t="s">
        <v>1660</v>
      </c>
      <c r="C667" s="9" t="s">
        <v>157</v>
      </c>
      <c r="D667" s="9" t="s">
        <v>15</v>
      </c>
      <c r="E667" s="9" t="s">
        <v>31</v>
      </c>
      <c r="F667" s="9" t="s">
        <v>17</v>
      </c>
      <c r="G667" s="9" t="s">
        <v>36</v>
      </c>
      <c r="H667" s="5">
        <v>50</v>
      </c>
      <c r="I667" s="6">
        <v>44445</v>
      </c>
      <c r="J667" s="7">
        <v>83418</v>
      </c>
      <c r="K667" s="9" t="s">
        <v>1310</v>
      </c>
      <c r="L667" s="9" t="s">
        <v>1316</v>
      </c>
      <c r="M667">
        <f t="shared" ca="1" si="20"/>
        <v>4</v>
      </c>
      <c r="N667">
        <f t="shared" ca="1" si="21"/>
        <v>3</v>
      </c>
    </row>
    <row r="668" spans="1:14" x14ac:dyDescent="0.3">
      <c r="A668" s="5" t="s">
        <v>1321</v>
      </c>
      <c r="B668" s="9" t="s">
        <v>1322</v>
      </c>
      <c r="C668" s="9" t="s">
        <v>142</v>
      </c>
      <c r="D668" s="9" t="s">
        <v>60</v>
      </c>
      <c r="E668" s="9" t="s">
        <v>25</v>
      </c>
      <c r="F668" s="9" t="s">
        <v>35</v>
      </c>
      <c r="G668" s="9" t="s">
        <v>36</v>
      </c>
      <c r="H668" s="5">
        <v>64</v>
      </c>
      <c r="I668" s="6">
        <v>35403</v>
      </c>
      <c r="J668" s="7">
        <v>99354</v>
      </c>
      <c r="K668" s="9" t="s">
        <v>1310</v>
      </c>
      <c r="L668" s="9" t="s">
        <v>1323</v>
      </c>
      <c r="M668">
        <f t="shared" ca="1" si="20"/>
        <v>28</v>
      </c>
      <c r="N668">
        <f t="shared" ca="1" si="21"/>
        <v>10</v>
      </c>
    </row>
    <row r="669" spans="1:14" x14ac:dyDescent="0.3">
      <c r="A669" s="5" t="s">
        <v>57</v>
      </c>
      <c r="B669" s="9" t="s">
        <v>58</v>
      </c>
      <c r="C669" s="9" t="s">
        <v>59</v>
      </c>
      <c r="D669" s="9" t="s">
        <v>60</v>
      </c>
      <c r="E669" s="9" t="s">
        <v>25</v>
      </c>
      <c r="F669" s="9" t="s">
        <v>17</v>
      </c>
      <c r="G669" s="9" t="s">
        <v>26</v>
      </c>
      <c r="H669" s="5">
        <v>27</v>
      </c>
      <c r="I669" s="6">
        <v>44490</v>
      </c>
      <c r="J669" s="7">
        <v>109851</v>
      </c>
      <c r="K669" s="9" t="s">
        <v>19</v>
      </c>
      <c r="L669" s="9" t="s">
        <v>20</v>
      </c>
      <c r="M669">
        <f t="shared" ca="1" si="20"/>
        <v>4</v>
      </c>
      <c r="N669">
        <f t="shared" ca="1" si="21"/>
        <v>3</v>
      </c>
    </row>
    <row r="670" spans="1:14" x14ac:dyDescent="0.3">
      <c r="A670" s="5" t="s">
        <v>1457</v>
      </c>
      <c r="B670" s="9" t="s">
        <v>1458</v>
      </c>
      <c r="C670" s="9" t="s">
        <v>196</v>
      </c>
      <c r="D670" s="9" t="s">
        <v>60</v>
      </c>
      <c r="E670" s="9" t="s">
        <v>25</v>
      </c>
      <c r="F670" s="9" t="s">
        <v>17</v>
      </c>
      <c r="G670" s="9" t="s">
        <v>36</v>
      </c>
      <c r="H670" s="5">
        <v>35</v>
      </c>
      <c r="I670" s="6">
        <v>42776</v>
      </c>
      <c r="J670" s="7">
        <v>60132</v>
      </c>
      <c r="K670" s="9" t="s">
        <v>1310</v>
      </c>
      <c r="L670" s="9" t="s">
        <v>1311</v>
      </c>
      <c r="M670">
        <f t="shared" ca="1" si="20"/>
        <v>8</v>
      </c>
      <c r="N670">
        <f t="shared" ca="1" si="21"/>
        <v>5.5</v>
      </c>
    </row>
    <row r="671" spans="1:14" x14ac:dyDescent="0.3">
      <c r="A671" s="5" t="s">
        <v>155</v>
      </c>
      <c r="B671" s="9" t="s">
        <v>1289</v>
      </c>
      <c r="C671" s="9" t="s">
        <v>23</v>
      </c>
      <c r="D671" s="9" t="s">
        <v>24</v>
      </c>
      <c r="E671" s="9" t="s">
        <v>41</v>
      </c>
      <c r="F671" s="9" t="s">
        <v>35</v>
      </c>
      <c r="G671" s="9" t="s">
        <v>36</v>
      </c>
      <c r="H671" s="5">
        <v>60</v>
      </c>
      <c r="I671" s="6">
        <v>42891</v>
      </c>
      <c r="J671" s="7">
        <v>158898</v>
      </c>
      <c r="K671" s="9" t="s">
        <v>19</v>
      </c>
      <c r="L671" s="9" t="s">
        <v>45</v>
      </c>
      <c r="M671">
        <f t="shared" ca="1" si="20"/>
        <v>8</v>
      </c>
      <c r="N671">
        <f t="shared" ca="1" si="21"/>
        <v>5.5</v>
      </c>
    </row>
    <row r="672" spans="1:14" x14ac:dyDescent="0.3">
      <c r="A672" s="5" t="s">
        <v>155</v>
      </c>
      <c r="B672" s="9" t="s">
        <v>1606</v>
      </c>
      <c r="C672" s="9" t="s">
        <v>23</v>
      </c>
      <c r="D672" s="9" t="s">
        <v>50</v>
      </c>
      <c r="E672" s="9" t="s">
        <v>25</v>
      </c>
      <c r="F672" s="9" t="s">
        <v>35</v>
      </c>
      <c r="G672" s="9" t="s">
        <v>36</v>
      </c>
      <c r="H672" s="5">
        <v>35</v>
      </c>
      <c r="I672" s="6">
        <v>42963</v>
      </c>
      <c r="J672" s="7">
        <v>181356</v>
      </c>
      <c r="K672" s="9" t="s">
        <v>1310</v>
      </c>
      <c r="L672" s="9" t="s">
        <v>1323</v>
      </c>
      <c r="M672">
        <f t="shared" ca="1" si="20"/>
        <v>8</v>
      </c>
      <c r="N672">
        <f t="shared" ca="1" si="21"/>
        <v>5.5</v>
      </c>
    </row>
    <row r="673" spans="1:14" x14ac:dyDescent="0.3">
      <c r="A673" s="5" t="s">
        <v>155</v>
      </c>
      <c r="B673" s="9" t="s">
        <v>156</v>
      </c>
      <c r="C673" s="9" t="s">
        <v>157</v>
      </c>
      <c r="D673" s="9" t="s">
        <v>15</v>
      </c>
      <c r="E673" s="9" t="s">
        <v>25</v>
      </c>
      <c r="F673" s="9" t="s">
        <v>17</v>
      </c>
      <c r="G673" s="9" t="s">
        <v>36</v>
      </c>
      <c r="H673" s="5">
        <v>32</v>
      </c>
      <c r="I673" s="6">
        <v>43835</v>
      </c>
      <c r="J673" s="7">
        <v>78844</v>
      </c>
      <c r="K673" s="9" t="s">
        <v>19</v>
      </c>
      <c r="L673" s="9" t="s">
        <v>20</v>
      </c>
      <c r="M673">
        <f t="shared" ca="1" si="20"/>
        <v>5</v>
      </c>
      <c r="N673">
        <f t="shared" ca="1" si="21"/>
        <v>3</v>
      </c>
    </row>
    <row r="674" spans="1:14" x14ac:dyDescent="0.3">
      <c r="A674" s="5" t="s">
        <v>1167</v>
      </c>
      <c r="B674" s="9" t="s">
        <v>1872</v>
      </c>
      <c r="C674" s="9" t="s">
        <v>577</v>
      </c>
      <c r="D674" s="9" t="s">
        <v>15</v>
      </c>
      <c r="E674" s="9" t="s">
        <v>41</v>
      </c>
      <c r="F674" s="9" t="s">
        <v>35</v>
      </c>
      <c r="G674" s="9" t="s">
        <v>73</v>
      </c>
      <c r="H674" s="5">
        <v>49</v>
      </c>
      <c r="I674" s="6">
        <v>42545</v>
      </c>
      <c r="J674" s="7">
        <v>68426</v>
      </c>
      <c r="K674" s="9" t="s">
        <v>1717</v>
      </c>
      <c r="L674" s="9" t="s">
        <v>1721</v>
      </c>
      <c r="M674">
        <f t="shared" ca="1" si="20"/>
        <v>9</v>
      </c>
      <c r="N674">
        <f t="shared" ca="1" si="21"/>
        <v>5.5</v>
      </c>
    </row>
    <row r="675" spans="1:14" x14ac:dyDescent="0.3">
      <c r="A675" s="5" t="s">
        <v>1167</v>
      </c>
      <c r="B675" s="9" t="s">
        <v>1168</v>
      </c>
      <c r="C675" s="9" t="s">
        <v>23</v>
      </c>
      <c r="D675" s="9" t="s">
        <v>68</v>
      </c>
      <c r="E675" s="9" t="s">
        <v>16</v>
      </c>
      <c r="F675" s="9" t="s">
        <v>35</v>
      </c>
      <c r="G675" s="9" t="s">
        <v>26</v>
      </c>
      <c r="H675" s="5">
        <v>48</v>
      </c>
      <c r="I675" s="6">
        <v>39302</v>
      </c>
      <c r="J675" s="7">
        <v>194723</v>
      </c>
      <c r="K675" s="9" t="s">
        <v>19</v>
      </c>
      <c r="L675" s="9" t="s">
        <v>37</v>
      </c>
      <c r="M675">
        <f t="shared" ca="1" si="20"/>
        <v>18</v>
      </c>
      <c r="N675">
        <f t="shared" ca="1" si="21"/>
        <v>9.5</v>
      </c>
    </row>
    <row r="676" spans="1:14" x14ac:dyDescent="0.3">
      <c r="A676" s="5" t="s">
        <v>1821</v>
      </c>
      <c r="B676" s="9" t="s">
        <v>1822</v>
      </c>
      <c r="C676" s="9" t="s">
        <v>130</v>
      </c>
      <c r="D676" s="9" t="s">
        <v>60</v>
      </c>
      <c r="E676" s="9" t="s">
        <v>16</v>
      </c>
      <c r="F676" s="9" t="s">
        <v>17</v>
      </c>
      <c r="G676" s="9" t="s">
        <v>73</v>
      </c>
      <c r="H676" s="5">
        <v>30</v>
      </c>
      <c r="I676" s="6">
        <v>43086</v>
      </c>
      <c r="J676" s="7">
        <v>87744</v>
      </c>
      <c r="K676" s="9" t="s">
        <v>1717</v>
      </c>
      <c r="L676" s="9" t="s">
        <v>1736</v>
      </c>
      <c r="M676">
        <f t="shared" ca="1" si="20"/>
        <v>7</v>
      </c>
      <c r="N676">
        <f t="shared" ca="1" si="21"/>
        <v>4</v>
      </c>
    </row>
    <row r="677" spans="1:14" x14ac:dyDescent="0.3">
      <c r="A677" s="5" t="s">
        <v>1149</v>
      </c>
      <c r="B677" s="9" t="s">
        <v>1150</v>
      </c>
      <c r="C677" s="9" t="s">
        <v>121</v>
      </c>
      <c r="D677" s="9" t="s">
        <v>56</v>
      </c>
      <c r="E677" s="9" t="s">
        <v>31</v>
      </c>
      <c r="F677" s="9" t="s">
        <v>17</v>
      </c>
      <c r="G677" s="9" t="s">
        <v>26</v>
      </c>
      <c r="H677" s="5">
        <v>61</v>
      </c>
      <c r="I677" s="6">
        <v>40683</v>
      </c>
      <c r="J677" s="7">
        <v>64937</v>
      </c>
      <c r="K677" s="9" t="s">
        <v>19</v>
      </c>
      <c r="L677" s="9" t="s">
        <v>37</v>
      </c>
      <c r="M677">
        <f t="shared" ca="1" si="20"/>
        <v>14</v>
      </c>
      <c r="N677">
        <f t="shared" ca="1" si="21"/>
        <v>8</v>
      </c>
    </row>
    <row r="678" spans="1:14" x14ac:dyDescent="0.3">
      <c r="A678" s="5" t="s">
        <v>1613</v>
      </c>
      <c r="B678" s="9" t="s">
        <v>1614</v>
      </c>
      <c r="C678" s="9" t="s">
        <v>196</v>
      </c>
      <c r="D678" s="9" t="s">
        <v>60</v>
      </c>
      <c r="E678" s="9" t="s">
        <v>25</v>
      </c>
      <c r="F678" s="9" t="s">
        <v>17</v>
      </c>
      <c r="G678" s="9" t="s">
        <v>36</v>
      </c>
      <c r="H678" s="5">
        <v>51</v>
      </c>
      <c r="I678" s="6">
        <v>42777</v>
      </c>
      <c r="J678" s="7">
        <v>87036</v>
      </c>
      <c r="K678" s="9" t="s">
        <v>1310</v>
      </c>
      <c r="L678" s="9" t="s">
        <v>1311</v>
      </c>
      <c r="M678">
        <f t="shared" ca="1" si="20"/>
        <v>8</v>
      </c>
      <c r="N678">
        <f t="shared" ca="1" si="21"/>
        <v>5.5</v>
      </c>
    </row>
    <row r="679" spans="1:14" x14ac:dyDescent="0.3">
      <c r="A679" s="5" t="s">
        <v>1874</v>
      </c>
      <c r="B679" s="9" t="s">
        <v>1875</v>
      </c>
      <c r="C679" s="9" t="s">
        <v>91</v>
      </c>
      <c r="D679" s="9" t="s">
        <v>68</v>
      </c>
      <c r="E679" s="9" t="s">
        <v>16</v>
      </c>
      <c r="F679" s="9" t="s">
        <v>35</v>
      </c>
      <c r="G679" s="9" t="s">
        <v>73</v>
      </c>
      <c r="H679" s="5">
        <v>61</v>
      </c>
      <c r="I679" s="6">
        <v>39568</v>
      </c>
      <c r="J679" s="7">
        <v>69352</v>
      </c>
      <c r="K679" s="9" t="s">
        <v>1717</v>
      </c>
      <c r="L679" s="9" t="s">
        <v>1721</v>
      </c>
      <c r="M679">
        <f t="shared" ca="1" si="20"/>
        <v>17</v>
      </c>
      <c r="N679">
        <f t="shared" ca="1" si="21"/>
        <v>8</v>
      </c>
    </row>
    <row r="680" spans="1:14" x14ac:dyDescent="0.3">
      <c r="A680" s="5" t="s">
        <v>692</v>
      </c>
      <c r="B680" s="9" t="s">
        <v>693</v>
      </c>
      <c r="C680" s="9" t="s">
        <v>67</v>
      </c>
      <c r="D680" s="9" t="s">
        <v>15</v>
      </c>
      <c r="E680" s="9" t="s">
        <v>31</v>
      </c>
      <c r="F680" s="9" t="s">
        <v>35</v>
      </c>
      <c r="G680" s="9" t="s">
        <v>26</v>
      </c>
      <c r="H680" s="5">
        <v>56</v>
      </c>
      <c r="I680" s="6">
        <v>38866</v>
      </c>
      <c r="J680" s="7">
        <v>228822</v>
      </c>
      <c r="K680" s="9" t="s">
        <v>19</v>
      </c>
      <c r="L680" s="9" t="s">
        <v>45</v>
      </c>
      <c r="M680">
        <f t="shared" ca="1" si="20"/>
        <v>19</v>
      </c>
      <c r="N680">
        <f t="shared" ca="1" si="21"/>
        <v>9.5</v>
      </c>
    </row>
    <row r="681" spans="1:14" x14ac:dyDescent="0.3">
      <c r="A681" s="5" t="s">
        <v>1197</v>
      </c>
      <c r="B681" s="9" t="s">
        <v>1198</v>
      </c>
      <c r="C681" s="9" t="s">
        <v>40</v>
      </c>
      <c r="D681" s="9" t="s">
        <v>56</v>
      </c>
      <c r="E681" s="9" t="s">
        <v>25</v>
      </c>
      <c r="F681" s="9" t="s">
        <v>35</v>
      </c>
      <c r="G681" s="9" t="s">
        <v>36</v>
      </c>
      <c r="H681" s="5">
        <v>50</v>
      </c>
      <c r="I681" s="6">
        <v>40983</v>
      </c>
      <c r="J681" s="7">
        <v>117226</v>
      </c>
      <c r="K681" s="9" t="s">
        <v>19</v>
      </c>
      <c r="L681" s="9" t="s">
        <v>37</v>
      </c>
      <c r="M681">
        <f t="shared" ca="1" si="20"/>
        <v>13</v>
      </c>
      <c r="N681">
        <f t="shared" ca="1" si="21"/>
        <v>8</v>
      </c>
    </row>
    <row r="682" spans="1:14" x14ac:dyDescent="0.3">
      <c r="A682" s="5" t="s">
        <v>174</v>
      </c>
      <c r="B682" s="9" t="s">
        <v>175</v>
      </c>
      <c r="C682" s="9" t="s">
        <v>23</v>
      </c>
      <c r="D682" s="9" t="s">
        <v>50</v>
      </c>
      <c r="E682" s="9" t="s">
        <v>25</v>
      </c>
      <c r="F682" s="9" t="s">
        <v>35</v>
      </c>
      <c r="G682" s="9" t="s">
        <v>26</v>
      </c>
      <c r="H682" s="5">
        <v>26</v>
      </c>
      <c r="I682" s="6">
        <v>44040</v>
      </c>
      <c r="J682" s="7">
        <v>180664</v>
      </c>
      <c r="K682" s="9" t="s">
        <v>19</v>
      </c>
      <c r="L682" s="9" t="s">
        <v>27</v>
      </c>
      <c r="M682">
        <f t="shared" ca="1" si="20"/>
        <v>5</v>
      </c>
      <c r="N682">
        <f t="shared" ca="1" si="21"/>
        <v>3</v>
      </c>
    </row>
    <row r="683" spans="1:14" x14ac:dyDescent="0.3">
      <c r="A683" s="5" t="s">
        <v>1866</v>
      </c>
      <c r="B683" s="9" t="s">
        <v>1867</v>
      </c>
      <c r="C683" s="9" t="s">
        <v>14</v>
      </c>
      <c r="D683" s="9" t="s">
        <v>24</v>
      </c>
      <c r="E683" s="9" t="s">
        <v>31</v>
      </c>
      <c r="F683" s="9" t="s">
        <v>35</v>
      </c>
      <c r="G683" s="9" t="s">
        <v>73</v>
      </c>
      <c r="H683" s="5">
        <v>46</v>
      </c>
      <c r="I683" s="6">
        <v>40378</v>
      </c>
      <c r="J683" s="7">
        <v>134881</v>
      </c>
      <c r="K683" s="9" t="s">
        <v>1717</v>
      </c>
      <c r="L683" s="9" t="s">
        <v>1718</v>
      </c>
      <c r="M683">
        <f t="shared" ca="1" si="20"/>
        <v>15</v>
      </c>
      <c r="N683">
        <f t="shared" ca="1" si="21"/>
        <v>8</v>
      </c>
    </row>
    <row r="684" spans="1:14" x14ac:dyDescent="0.3">
      <c r="A684" s="5" t="s">
        <v>1386</v>
      </c>
      <c r="B684" s="9" t="s">
        <v>1387</v>
      </c>
      <c r="C684" s="9" t="s">
        <v>67</v>
      </c>
      <c r="D684" s="9" t="s">
        <v>68</v>
      </c>
      <c r="E684" s="9" t="s">
        <v>25</v>
      </c>
      <c r="F684" s="9" t="s">
        <v>35</v>
      </c>
      <c r="G684" s="9" t="s">
        <v>36</v>
      </c>
      <c r="H684" s="5">
        <v>40</v>
      </c>
      <c r="I684" s="6">
        <v>39872</v>
      </c>
      <c r="J684" s="7">
        <v>242919</v>
      </c>
      <c r="K684" s="9" t="s">
        <v>1310</v>
      </c>
      <c r="L684" s="9" t="s">
        <v>1311</v>
      </c>
      <c r="M684">
        <f t="shared" ca="1" si="20"/>
        <v>16</v>
      </c>
      <c r="N684">
        <f t="shared" ca="1" si="21"/>
        <v>8</v>
      </c>
    </row>
    <row r="685" spans="1:14" x14ac:dyDescent="0.3">
      <c r="A685" s="5" t="s">
        <v>1563</v>
      </c>
      <c r="B685" s="9" t="s">
        <v>1564</v>
      </c>
      <c r="C685" s="9" t="s">
        <v>130</v>
      </c>
      <c r="D685" s="9" t="s">
        <v>60</v>
      </c>
      <c r="E685" s="9" t="s">
        <v>31</v>
      </c>
      <c r="F685" s="9" t="s">
        <v>35</v>
      </c>
      <c r="G685" s="9" t="s">
        <v>36</v>
      </c>
      <c r="H685" s="5">
        <v>60</v>
      </c>
      <c r="I685" s="6">
        <v>33890</v>
      </c>
      <c r="J685" s="7">
        <v>88213</v>
      </c>
      <c r="K685" s="9" t="s">
        <v>1310</v>
      </c>
      <c r="L685" s="9" t="s">
        <v>1311</v>
      </c>
      <c r="M685">
        <f t="shared" ca="1" si="20"/>
        <v>33</v>
      </c>
      <c r="N685">
        <f t="shared" ca="1" si="21"/>
        <v>15</v>
      </c>
    </row>
    <row r="686" spans="1:14" x14ac:dyDescent="0.3">
      <c r="A686" s="5" t="s">
        <v>1847</v>
      </c>
      <c r="B686" s="9" t="s">
        <v>1848</v>
      </c>
      <c r="C686" s="9" t="s">
        <v>130</v>
      </c>
      <c r="D686" s="9" t="s">
        <v>60</v>
      </c>
      <c r="E686" s="9" t="s">
        <v>25</v>
      </c>
      <c r="F686" s="9" t="s">
        <v>17</v>
      </c>
      <c r="G686" s="9" t="s">
        <v>73</v>
      </c>
      <c r="H686" s="5">
        <v>42</v>
      </c>
      <c r="I686" s="6">
        <v>44232</v>
      </c>
      <c r="J686" s="7">
        <v>65507</v>
      </c>
      <c r="K686" s="9" t="s">
        <v>1717</v>
      </c>
      <c r="L686" s="9" t="s">
        <v>1718</v>
      </c>
      <c r="M686">
        <f t="shared" ca="1" si="20"/>
        <v>4</v>
      </c>
      <c r="N686">
        <f t="shared" ca="1" si="21"/>
        <v>3</v>
      </c>
    </row>
    <row r="687" spans="1:14" x14ac:dyDescent="0.3">
      <c r="A687" s="5" t="s">
        <v>1238</v>
      </c>
      <c r="B687" s="9" t="s">
        <v>1239</v>
      </c>
      <c r="C687" s="9" t="s">
        <v>14</v>
      </c>
      <c r="D687" s="9" t="s">
        <v>56</v>
      </c>
      <c r="E687" s="9" t="s">
        <v>16</v>
      </c>
      <c r="F687" s="9" t="s">
        <v>35</v>
      </c>
      <c r="G687" s="9" t="s">
        <v>18</v>
      </c>
      <c r="H687" s="5">
        <v>42</v>
      </c>
      <c r="I687" s="6">
        <v>37914</v>
      </c>
      <c r="J687" s="7">
        <v>135558</v>
      </c>
      <c r="K687" s="9" t="s">
        <v>19</v>
      </c>
      <c r="L687" s="9" t="s">
        <v>37</v>
      </c>
      <c r="M687">
        <f t="shared" ca="1" si="20"/>
        <v>22</v>
      </c>
      <c r="N687">
        <f t="shared" ca="1" si="21"/>
        <v>9.5</v>
      </c>
    </row>
    <row r="688" spans="1:14" x14ac:dyDescent="0.3">
      <c r="A688" s="5" t="s">
        <v>1341</v>
      </c>
      <c r="B688" s="9" t="s">
        <v>1342</v>
      </c>
      <c r="C688" s="9" t="s">
        <v>30</v>
      </c>
      <c r="D688" s="9" t="s">
        <v>15</v>
      </c>
      <c r="E688" s="9" t="s">
        <v>31</v>
      </c>
      <c r="F688" s="9" t="s">
        <v>35</v>
      </c>
      <c r="G688" s="9" t="s">
        <v>36</v>
      </c>
      <c r="H688" s="5">
        <v>40</v>
      </c>
      <c r="I688" s="6">
        <v>39265</v>
      </c>
      <c r="J688" s="7">
        <v>93971</v>
      </c>
      <c r="K688" s="9" t="s">
        <v>1310</v>
      </c>
      <c r="L688" s="9" t="s">
        <v>1311</v>
      </c>
      <c r="M688">
        <f t="shared" ca="1" si="20"/>
        <v>18</v>
      </c>
      <c r="N688">
        <f t="shared" ca="1" si="21"/>
        <v>9.5</v>
      </c>
    </row>
    <row r="689" spans="1:14" x14ac:dyDescent="0.3">
      <c r="A689" s="5" t="s">
        <v>1445</v>
      </c>
      <c r="B689" s="9" t="s">
        <v>1446</v>
      </c>
      <c r="C689" s="9" t="s">
        <v>181</v>
      </c>
      <c r="D689" s="9" t="s">
        <v>79</v>
      </c>
      <c r="E689" s="9" t="s">
        <v>25</v>
      </c>
      <c r="F689" s="9" t="s">
        <v>17</v>
      </c>
      <c r="G689" s="9" t="s">
        <v>36</v>
      </c>
      <c r="H689" s="5">
        <v>47</v>
      </c>
      <c r="I689" s="6">
        <v>42195</v>
      </c>
      <c r="J689" s="7">
        <v>63880</v>
      </c>
      <c r="K689" s="9" t="s">
        <v>1310</v>
      </c>
      <c r="L689" s="9" t="s">
        <v>1311</v>
      </c>
      <c r="M689">
        <f t="shared" ca="1" si="20"/>
        <v>10</v>
      </c>
      <c r="N689">
        <f t="shared" ca="1" si="21"/>
        <v>5.5</v>
      </c>
    </row>
    <row r="690" spans="1:14" x14ac:dyDescent="0.3">
      <c r="A690" s="5" t="s">
        <v>517</v>
      </c>
      <c r="B690" s="9" t="s">
        <v>518</v>
      </c>
      <c r="C690" s="9" t="s">
        <v>40</v>
      </c>
      <c r="D690" s="9" t="s">
        <v>79</v>
      </c>
      <c r="E690" s="9" t="s">
        <v>16</v>
      </c>
      <c r="F690" s="9" t="s">
        <v>35</v>
      </c>
      <c r="G690" s="9" t="s">
        <v>73</v>
      </c>
      <c r="H690" s="5">
        <v>36</v>
      </c>
      <c r="I690" s="6">
        <v>41116</v>
      </c>
      <c r="J690" s="7">
        <v>105891</v>
      </c>
      <c r="K690" s="9" t="s">
        <v>19</v>
      </c>
      <c r="L690" s="9" t="s">
        <v>20</v>
      </c>
      <c r="M690">
        <f t="shared" ca="1" si="20"/>
        <v>13</v>
      </c>
      <c r="N690">
        <f t="shared" ca="1" si="21"/>
        <v>8</v>
      </c>
    </row>
    <row r="691" spans="1:14" x14ac:dyDescent="0.3">
      <c r="A691" s="5" t="s">
        <v>1493</v>
      </c>
      <c r="B691" s="9" t="s">
        <v>1494</v>
      </c>
      <c r="C691" s="9" t="s">
        <v>34</v>
      </c>
      <c r="D691" s="9" t="s">
        <v>68</v>
      </c>
      <c r="E691" s="9" t="s">
        <v>31</v>
      </c>
      <c r="F691" s="9" t="s">
        <v>35</v>
      </c>
      <c r="G691" s="9" t="s">
        <v>36</v>
      </c>
      <c r="H691" s="5">
        <v>51</v>
      </c>
      <c r="I691" s="6">
        <v>41013</v>
      </c>
      <c r="J691" s="7">
        <v>82300</v>
      </c>
      <c r="K691" s="9" t="s">
        <v>1310</v>
      </c>
      <c r="L691" s="9" t="s">
        <v>1330</v>
      </c>
      <c r="M691">
        <f t="shared" ca="1" si="20"/>
        <v>13</v>
      </c>
      <c r="N691">
        <f t="shared" ca="1" si="21"/>
        <v>8</v>
      </c>
    </row>
    <row r="692" spans="1:14" x14ac:dyDescent="0.3">
      <c r="A692" s="5" t="s">
        <v>1980</v>
      </c>
      <c r="B692" s="9" t="s">
        <v>1981</v>
      </c>
      <c r="C692" s="9" t="s">
        <v>184</v>
      </c>
      <c r="D692" s="9" t="s">
        <v>56</v>
      </c>
      <c r="E692" s="9" t="s">
        <v>16</v>
      </c>
      <c r="F692" s="9" t="s">
        <v>35</v>
      </c>
      <c r="G692" s="9" t="s">
        <v>73</v>
      </c>
      <c r="H692" s="5">
        <v>48</v>
      </c>
      <c r="I692" s="6">
        <v>35907</v>
      </c>
      <c r="J692" s="7">
        <v>85369</v>
      </c>
      <c r="K692" s="9" t="s">
        <v>1717</v>
      </c>
      <c r="L692" s="9" t="s">
        <v>1718</v>
      </c>
      <c r="M692">
        <f t="shared" ca="1" si="20"/>
        <v>27</v>
      </c>
      <c r="N692">
        <f t="shared" ca="1" si="21"/>
        <v>10</v>
      </c>
    </row>
    <row r="693" spans="1:14" x14ac:dyDescent="0.3">
      <c r="A693" s="5" t="s">
        <v>1801</v>
      </c>
      <c r="B693" s="9" t="s">
        <v>1802</v>
      </c>
      <c r="C693" s="9" t="s">
        <v>133</v>
      </c>
      <c r="D693" s="9" t="s">
        <v>60</v>
      </c>
      <c r="E693" s="9" t="s">
        <v>16</v>
      </c>
      <c r="F693" s="9" t="s">
        <v>35</v>
      </c>
      <c r="G693" s="9" t="s">
        <v>73</v>
      </c>
      <c r="H693" s="5">
        <v>52</v>
      </c>
      <c r="I693" s="6">
        <v>44022</v>
      </c>
      <c r="J693" s="7">
        <v>88272</v>
      </c>
      <c r="K693" s="9" t="s">
        <v>1717</v>
      </c>
      <c r="L693" s="9" t="s">
        <v>1736</v>
      </c>
      <c r="M693">
        <f t="shared" ca="1" si="20"/>
        <v>5</v>
      </c>
      <c r="N693">
        <f t="shared" ca="1" si="21"/>
        <v>3</v>
      </c>
    </row>
    <row r="694" spans="1:14" x14ac:dyDescent="0.3">
      <c r="A694" s="5" t="s">
        <v>1741</v>
      </c>
      <c r="B694" s="9" t="s">
        <v>1742</v>
      </c>
      <c r="C694" s="9" t="s">
        <v>157</v>
      </c>
      <c r="D694" s="9" t="s">
        <v>15</v>
      </c>
      <c r="E694" s="9" t="s">
        <v>41</v>
      </c>
      <c r="F694" s="9" t="s">
        <v>17</v>
      </c>
      <c r="G694" s="9" t="s">
        <v>73</v>
      </c>
      <c r="H694" s="5">
        <v>41</v>
      </c>
      <c r="I694" s="6">
        <v>39931</v>
      </c>
      <c r="J694" s="7">
        <v>69803</v>
      </c>
      <c r="K694" s="9" t="s">
        <v>1717</v>
      </c>
      <c r="L694" s="9" t="s">
        <v>1718</v>
      </c>
      <c r="M694">
        <f t="shared" ca="1" si="20"/>
        <v>16</v>
      </c>
      <c r="N694">
        <f t="shared" ca="1" si="21"/>
        <v>8</v>
      </c>
    </row>
    <row r="695" spans="1:14" x14ac:dyDescent="0.3">
      <c r="A695" s="5" t="s">
        <v>293</v>
      </c>
      <c r="B695" s="9" t="s">
        <v>294</v>
      </c>
      <c r="C695" s="9" t="s">
        <v>40</v>
      </c>
      <c r="D695" s="9" t="s">
        <v>68</v>
      </c>
      <c r="E695" s="9" t="s">
        <v>16</v>
      </c>
      <c r="F695" s="9" t="s">
        <v>35</v>
      </c>
      <c r="G695" s="9" t="s">
        <v>26</v>
      </c>
      <c r="H695" s="5">
        <v>51</v>
      </c>
      <c r="I695" s="6">
        <v>44014</v>
      </c>
      <c r="J695" s="7">
        <v>100099</v>
      </c>
      <c r="K695" s="9" t="s">
        <v>19</v>
      </c>
      <c r="L695" s="9" t="s">
        <v>45</v>
      </c>
      <c r="M695">
        <f t="shared" ca="1" si="20"/>
        <v>5</v>
      </c>
      <c r="N695">
        <f t="shared" ca="1" si="21"/>
        <v>3</v>
      </c>
    </row>
    <row r="696" spans="1:14" x14ac:dyDescent="0.3">
      <c r="A696" s="5" t="s">
        <v>1165</v>
      </c>
      <c r="B696" s="9" t="s">
        <v>1166</v>
      </c>
      <c r="C696" s="9" t="s">
        <v>234</v>
      </c>
      <c r="D696" s="9" t="s">
        <v>15</v>
      </c>
      <c r="E696" s="9" t="s">
        <v>16</v>
      </c>
      <c r="F696" s="9" t="s">
        <v>17</v>
      </c>
      <c r="G696" s="9" t="s">
        <v>26</v>
      </c>
      <c r="H696" s="5">
        <v>52</v>
      </c>
      <c r="I696" s="6">
        <v>38406</v>
      </c>
      <c r="J696" s="7">
        <v>45286</v>
      </c>
      <c r="K696" s="9" t="s">
        <v>19</v>
      </c>
      <c r="L696" s="9" t="s">
        <v>27</v>
      </c>
      <c r="M696">
        <f t="shared" ca="1" si="20"/>
        <v>20</v>
      </c>
      <c r="N696">
        <f t="shared" ca="1" si="21"/>
        <v>9.5</v>
      </c>
    </row>
    <row r="697" spans="1:14" x14ac:dyDescent="0.3">
      <c r="A697" s="5" t="s">
        <v>1684</v>
      </c>
      <c r="B697" s="9" t="s">
        <v>1685</v>
      </c>
      <c r="C697" s="9" t="s">
        <v>59</v>
      </c>
      <c r="D697" s="9" t="s">
        <v>60</v>
      </c>
      <c r="E697" s="9" t="s">
        <v>16</v>
      </c>
      <c r="F697" s="9" t="s">
        <v>17</v>
      </c>
      <c r="G697" s="9" t="s">
        <v>36</v>
      </c>
      <c r="H697" s="5">
        <v>59</v>
      </c>
      <c r="I697" s="6">
        <v>36990</v>
      </c>
      <c r="J697" s="7">
        <v>119699</v>
      </c>
      <c r="K697" s="9" t="s">
        <v>1310</v>
      </c>
      <c r="L697" s="9" t="s">
        <v>1316</v>
      </c>
      <c r="M697">
        <f t="shared" ca="1" si="20"/>
        <v>24</v>
      </c>
      <c r="N697">
        <f t="shared" ca="1" si="21"/>
        <v>9.5</v>
      </c>
    </row>
    <row r="698" spans="1:14" x14ac:dyDescent="0.3">
      <c r="A698" s="5" t="s">
        <v>631</v>
      </c>
      <c r="B698" s="9" t="s">
        <v>632</v>
      </c>
      <c r="C698" s="9" t="s">
        <v>139</v>
      </c>
      <c r="D698" s="9" t="s">
        <v>56</v>
      </c>
      <c r="E698" s="9" t="s">
        <v>16</v>
      </c>
      <c r="F698" s="9" t="s">
        <v>35</v>
      </c>
      <c r="G698" s="9" t="s">
        <v>36</v>
      </c>
      <c r="H698" s="5">
        <v>35</v>
      </c>
      <c r="I698" s="6">
        <v>40596</v>
      </c>
      <c r="J698" s="7">
        <v>43336</v>
      </c>
      <c r="K698" s="9" t="s">
        <v>19</v>
      </c>
      <c r="L698" s="9" t="s">
        <v>51</v>
      </c>
      <c r="M698">
        <f t="shared" ca="1" si="20"/>
        <v>14</v>
      </c>
      <c r="N698">
        <f t="shared" ca="1" si="21"/>
        <v>8</v>
      </c>
    </row>
    <row r="699" spans="1:14" x14ac:dyDescent="0.3">
      <c r="A699" s="5" t="s">
        <v>1591</v>
      </c>
      <c r="B699" s="9" t="s">
        <v>1592</v>
      </c>
      <c r="C699" s="9" t="s">
        <v>91</v>
      </c>
      <c r="D699" s="9" t="s">
        <v>24</v>
      </c>
      <c r="E699" s="9" t="s">
        <v>31</v>
      </c>
      <c r="F699" s="9" t="s">
        <v>17</v>
      </c>
      <c r="G699" s="9" t="s">
        <v>36</v>
      </c>
      <c r="H699" s="5">
        <v>45</v>
      </c>
      <c r="I699" s="6">
        <v>42711</v>
      </c>
      <c r="J699" s="7">
        <v>71454</v>
      </c>
      <c r="K699" s="9" t="s">
        <v>1310</v>
      </c>
      <c r="L699" s="9" t="s">
        <v>1316</v>
      </c>
      <c r="M699">
        <f t="shared" ca="1" si="20"/>
        <v>8</v>
      </c>
      <c r="N699">
        <f t="shared" ca="1" si="21"/>
        <v>5.5</v>
      </c>
    </row>
    <row r="700" spans="1:14" x14ac:dyDescent="0.3">
      <c r="A700" s="5" t="s">
        <v>958</v>
      </c>
      <c r="B700" s="9" t="s">
        <v>959</v>
      </c>
      <c r="C700" s="9" t="s">
        <v>40</v>
      </c>
      <c r="D700" s="9" t="s">
        <v>56</v>
      </c>
      <c r="E700" s="9" t="s">
        <v>41</v>
      </c>
      <c r="F700" s="9" t="s">
        <v>17</v>
      </c>
      <c r="G700" s="9" t="s">
        <v>73</v>
      </c>
      <c r="H700" s="5">
        <v>42</v>
      </c>
      <c r="I700" s="6">
        <v>43058</v>
      </c>
      <c r="J700" s="7">
        <v>101143</v>
      </c>
      <c r="K700" s="9" t="s">
        <v>19</v>
      </c>
      <c r="L700" s="9" t="s">
        <v>45</v>
      </c>
      <c r="M700">
        <f t="shared" ca="1" si="20"/>
        <v>8</v>
      </c>
      <c r="N700">
        <f t="shared" ca="1" si="21"/>
        <v>5.5</v>
      </c>
    </row>
    <row r="701" spans="1:14" x14ac:dyDescent="0.3">
      <c r="A701" s="5" t="s">
        <v>449</v>
      </c>
      <c r="B701" s="9" t="s">
        <v>450</v>
      </c>
      <c r="C701" s="9" t="s">
        <v>451</v>
      </c>
      <c r="D701" s="9" t="s">
        <v>15</v>
      </c>
      <c r="E701" s="9" t="s">
        <v>41</v>
      </c>
      <c r="F701" s="9" t="s">
        <v>17</v>
      </c>
      <c r="G701" s="9" t="s">
        <v>26</v>
      </c>
      <c r="H701" s="5">
        <v>40</v>
      </c>
      <c r="I701" s="6">
        <v>40522</v>
      </c>
      <c r="J701" s="7">
        <v>97807</v>
      </c>
      <c r="K701" s="9" t="s">
        <v>19</v>
      </c>
      <c r="L701" s="9" t="s">
        <v>27</v>
      </c>
      <c r="M701">
        <f t="shared" ca="1" si="20"/>
        <v>14</v>
      </c>
      <c r="N701">
        <f t="shared" ca="1" si="21"/>
        <v>8</v>
      </c>
    </row>
    <row r="702" spans="1:14" x14ac:dyDescent="0.3">
      <c r="A702" s="5" t="s">
        <v>1719</v>
      </c>
      <c r="B702" s="9" t="s">
        <v>1720</v>
      </c>
      <c r="C702" s="9" t="s">
        <v>23</v>
      </c>
      <c r="D702" s="9" t="s">
        <v>15</v>
      </c>
      <c r="E702" s="9" t="s">
        <v>16</v>
      </c>
      <c r="F702" s="9" t="s">
        <v>35</v>
      </c>
      <c r="G702" s="9" t="s">
        <v>73</v>
      </c>
      <c r="H702" s="5">
        <v>59</v>
      </c>
      <c r="I702" s="6">
        <v>37400</v>
      </c>
      <c r="J702" s="7">
        <v>172787</v>
      </c>
      <c r="K702" s="9" t="s">
        <v>1717</v>
      </c>
      <c r="L702" s="9" t="s">
        <v>1721</v>
      </c>
      <c r="M702">
        <f t="shared" ca="1" si="20"/>
        <v>23</v>
      </c>
      <c r="N702">
        <f t="shared" ca="1" si="21"/>
        <v>9.5</v>
      </c>
    </row>
    <row r="703" spans="1:14" x14ac:dyDescent="0.3">
      <c r="A703" s="5" t="s">
        <v>633</v>
      </c>
      <c r="B703" s="9" t="s">
        <v>634</v>
      </c>
      <c r="C703" s="9" t="s">
        <v>14</v>
      </c>
      <c r="D703" s="9" t="s">
        <v>56</v>
      </c>
      <c r="E703" s="9" t="s">
        <v>41</v>
      </c>
      <c r="F703" s="9" t="s">
        <v>35</v>
      </c>
      <c r="G703" s="9" t="s">
        <v>73</v>
      </c>
      <c r="H703" s="5">
        <v>38</v>
      </c>
      <c r="I703" s="6">
        <v>40083</v>
      </c>
      <c r="J703" s="7">
        <v>127801</v>
      </c>
      <c r="K703" s="9" t="s">
        <v>19</v>
      </c>
      <c r="L703" s="9" t="s">
        <v>37</v>
      </c>
      <c r="M703">
        <f t="shared" ca="1" si="20"/>
        <v>16</v>
      </c>
      <c r="N703">
        <f t="shared" ca="1" si="21"/>
        <v>8</v>
      </c>
    </row>
    <row r="704" spans="1:14" x14ac:dyDescent="0.3">
      <c r="A704" s="5" t="s">
        <v>63</v>
      </c>
      <c r="B704" s="9" t="s">
        <v>64</v>
      </c>
      <c r="C704" s="9" t="s">
        <v>34</v>
      </c>
      <c r="D704" s="9" t="s">
        <v>50</v>
      </c>
      <c r="E704" s="9" t="s">
        <v>25</v>
      </c>
      <c r="F704" s="9" t="s">
        <v>35</v>
      </c>
      <c r="G704" s="9" t="s">
        <v>36</v>
      </c>
      <c r="H704" s="5">
        <v>31</v>
      </c>
      <c r="I704" s="6">
        <v>43043</v>
      </c>
      <c r="J704" s="7">
        <v>97078</v>
      </c>
      <c r="K704" s="9" t="s">
        <v>19</v>
      </c>
      <c r="L704" s="9" t="s">
        <v>51</v>
      </c>
      <c r="M704">
        <f t="shared" ca="1" si="20"/>
        <v>8</v>
      </c>
      <c r="N704">
        <f t="shared" ca="1" si="21"/>
        <v>5.5</v>
      </c>
    </row>
    <row r="705" spans="1:14" x14ac:dyDescent="0.3">
      <c r="A705" s="5" t="s">
        <v>281</v>
      </c>
      <c r="B705" s="9" t="s">
        <v>282</v>
      </c>
      <c r="C705" s="9" t="s">
        <v>67</v>
      </c>
      <c r="D705" s="9" t="s">
        <v>56</v>
      </c>
      <c r="E705" s="9" t="s">
        <v>16</v>
      </c>
      <c r="F705" s="9" t="s">
        <v>35</v>
      </c>
      <c r="G705" s="9" t="s">
        <v>36</v>
      </c>
      <c r="H705" s="5">
        <v>48</v>
      </c>
      <c r="I705" s="6">
        <v>41706</v>
      </c>
      <c r="J705" s="7">
        <v>197367</v>
      </c>
      <c r="K705" s="9" t="s">
        <v>19</v>
      </c>
      <c r="L705" s="9" t="s">
        <v>51</v>
      </c>
      <c r="M705">
        <f t="shared" ca="1" si="20"/>
        <v>11</v>
      </c>
      <c r="N705">
        <f t="shared" ca="1" si="21"/>
        <v>5.5</v>
      </c>
    </row>
    <row r="706" spans="1:14" x14ac:dyDescent="0.3">
      <c r="A706" s="5" t="s">
        <v>1672</v>
      </c>
      <c r="B706" s="9" t="s">
        <v>1673</v>
      </c>
      <c r="C706" s="9" t="s">
        <v>30</v>
      </c>
      <c r="D706" s="9" t="s">
        <v>15</v>
      </c>
      <c r="E706" s="9" t="s">
        <v>25</v>
      </c>
      <c r="F706" s="9" t="s">
        <v>17</v>
      </c>
      <c r="G706" s="9" t="s">
        <v>36</v>
      </c>
      <c r="H706" s="5">
        <v>48</v>
      </c>
      <c r="I706" s="6">
        <v>41749</v>
      </c>
      <c r="J706" s="7">
        <v>91679</v>
      </c>
      <c r="K706" s="9" t="s">
        <v>1310</v>
      </c>
      <c r="L706" s="9" t="s">
        <v>1311</v>
      </c>
      <c r="M706">
        <f t="shared" ca="1" si="20"/>
        <v>11</v>
      </c>
      <c r="N706">
        <f t="shared" ca="1" si="21"/>
        <v>5.5</v>
      </c>
    </row>
    <row r="707" spans="1:14" x14ac:dyDescent="0.3">
      <c r="A707" s="5" t="s">
        <v>1768</v>
      </c>
      <c r="B707" s="9" t="s">
        <v>1769</v>
      </c>
      <c r="C707" s="9" t="s">
        <v>44</v>
      </c>
      <c r="D707" s="9" t="s">
        <v>68</v>
      </c>
      <c r="E707" s="9" t="s">
        <v>31</v>
      </c>
      <c r="F707" s="9" t="s">
        <v>35</v>
      </c>
      <c r="G707" s="9" t="s">
        <v>73</v>
      </c>
      <c r="H707" s="5">
        <v>30</v>
      </c>
      <c r="I707" s="6">
        <v>43272</v>
      </c>
      <c r="J707" s="7">
        <v>56154</v>
      </c>
      <c r="K707" s="9" t="s">
        <v>1717</v>
      </c>
      <c r="L707" s="9" t="s">
        <v>1736</v>
      </c>
      <c r="M707">
        <f t="shared" ref="M707:M770" ca="1" si="22">DATEDIF(I707,TODAY(),"Y")</f>
        <v>7</v>
      </c>
      <c r="N707">
        <f t="shared" ref="N707:N770" ca="1" si="23">_xlfn.XLOOKUP(M707,$Q$3:$Q$11,$R$3:$R$11,0,-1)</f>
        <v>4</v>
      </c>
    </row>
    <row r="708" spans="1:14" x14ac:dyDescent="0.3">
      <c r="A708" s="5" t="s">
        <v>1927</v>
      </c>
      <c r="B708" s="9" t="s">
        <v>1928</v>
      </c>
      <c r="C708" s="9" t="s">
        <v>23</v>
      </c>
      <c r="D708" s="9" t="s">
        <v>79</v>
      </c>
      <c r="E708" s="9" t="s">
        <v>41</v>
      </c>
      <c r="F708" s="9" t="s">
        <v>35</v>
      </c>
      <c r="G708" s="9" t="s">
        <v>73</v>
      </c>
      <c r="H708" s="5">
        <v>52</v>
      </c>
      <c r="I708" s="6">
        <v>44099</v>
      </c>
      <c r="J708" s="7">
        <v>163143</v>
      </c>
      <c r="K708" s="9" t="s">
        <v>1717</v>
      </c>
      <c r="L708" s="9" t="s">
        <v>1736</v>
      </c>
      <c r="M708">
        <f t="shared" ca="1" si="22"/>
        <v>5</v>
      </c>
      <c r="N708">
        <f t="shared" ca="1" si="23"/>
        <v>3</v>
      </c>
    </row>
    <row r="709" spans="1:14" x14ac:dyDescent="0.3">
      <c r="A709" s="5" t="s">
        <v>1623</v>
      </c>
      <c r="B709" s="9" t="s">
        <v>1624</v>
      </c>
      <c r="C709" s="9" t="s">
        <v>14</v>
      </c>
      <c r="D709" s="9" t="s">
        <v>56</v>
      </c>
      <c r="E709" s="9" t="s">
        <v>31</v>
      </c>
      <c r="F709" s="9" t="s">
        <v>35</v>
      </c>
      <c r="G709" s="9" t="s">
        <v>36</v>
      </c>
      <c r="H709" s="5">
        <v>62</v>
      </c>
      <c r="I709" s="6">
        <v>43061</v>
      </c>
      <c r="J709" s="7">
        <v>138808</v>
      </c>
      <c r="K709" s="9" t="s">
        <v>1310</v>
      </c>
      <c r="L709" s="9" t="s">
        <v>1311</v>
      </c>
      <c r="M709">
        <f t="shared" ca="1" si="22"/>
        <v>8</v>
      </c>
      <c r="N709">
        <f t="shared" ca="1" si="23"/>
        <v>5.5</v>
      </c>
    </row>
    <row r="710" spans="1:14" x14ac:dyDescent="0.3">
      <c r="A710" s="5" t="s">
        <v>1106</v>
      </c>
      <c r="B710" s="9" t="s">
        <v>1107</v>
      </c>
      <c r="C710" s="9" t="s">
        <v>142</v>
      </c>
      <c r="D710" s="9" t="s">
        <v>60</v>
      </c>
      <c r="E710" s="9" t="s">
        <v>16</v>
      </c>
      <c r="F710" s="9" t="s">
        <v>35</v>
      </c>
      <c r="G710" s="9" t="s">
        <v>73</v>
      </c>
      <c r="H710" s="5">
        <v>56</v>
      </c>
      <c r="I710" s="6">
        <v>43363</v>
      </c>
      <c r="J710" s="7">
        <v>78938</v>
      </c>
      <c r="K710" s="9" t="s">
        <v>19</v>
      </c>
      <c r="L710" s="9" t="s">
        <v>37</v>
      </c>
      <c r="M710">
        <f t="shared" ca="1" si="22"/>
        <v>7</v>
      </c>
      <c r="N710">
        <f t="shared" ca="1" si="23"/>
        <v>4</v>
      </c>
    </row>
    <row r="711" spans="1:14" x14ac:dyDescent="0.3">
      <c r="A711" s="5" t="s">
        <v>108</v>
      </c>
      <c r="B711" s="9" t="s">
        <v>109</v>
      </c>
      <c r="C711" s="9" t="s">
        <v>96</v>
      </c>
      <c r="D711" s="9" t="s">
        <v>15</v>
      </c>
      <c r="E711" s="9" t="s">
        <v>16</v>
      </c>
      <c r="F711" s="9" t="s">
        <v>35</v>
      </c>
      <c r="G711" s="9" t="s">
        <v>26</v>
      </c>
      <c r="H711" s="5">
        <v>40</v>
      </c>
      <c r="I711" s="6">
        <v>40486</v>
      </c>
      <c r="J711" s="7">
        <v>92952</v>
      </c>
      <c r="K711" s="9" t="s">
        <v>19</v>
      </c>
      <c r="L711" s="9" t="s">
        <v>20</v>
      </c>
      <c r="M711">
        <f t="shared" ca="1" si="22"/>
        <v>15</v>
      </c>
      <c r="N711">
        <f t="shared" ca="1" si="23"/>
        <v>8</v>
      </c>
    </row>
    <row r="712" spans="1:14" x14ac:dyDescent="0.3">
      <c r="A712" s="5" t="s">
        <v>582</v>
      </c>
      <c r="B712" s="9" t="s">
        <v>583</v>
      </c>
      <c r="C712" s="9" t="s">
        <v>451</v>
      </c>
      <c r="D712" s="9" t="s">
        <v>15</v>
      </c>
      <c r="E712" s="9" t="s">
        <v>31</v>
      </c>
      <c r="F712" s="9" t="s">
        <v>17</v>
      </c>
      <c r="G712" s="9" t="s">
        <v>26</v>
      </c>
      <c r="H712" s="5">
        <v>28</v>
      </c>
      <c r="I712" s="6">
        <v>43122</v>
      </c>
      <c r="J712" s="7">
        <v>68176</v>
      </c>
      <c r="K712" s="9" t="s">
        <v>19</v>
      </c>
      <c r="L712" s="9" t="s">
        <v>20</v>
      </c>
      <c r="M712">
        <f t="shared" ca="1" si="22"/>
        <v>7</v>
      </c>
      <c r="N712">
        <f t="shared" ca="1" si="23"/>
        <v>4</v>
      </c>
    </row>
    <row r="713" spans="1:14" x14ac:dyDescent="0.3">
      <c r="A713" s="5" t="s">
        <v>1306</v>
      </c>
      <c r="B713" s="9" t="s">
        <v>1307</v>
      </c>
      <c r="C713" s="9" t="s">
        <v>67</v>
      </c>
      <c r="D713" s="9" t="s">
        <v>50</v>
      </c>
      <c r="E713" s="9" t="s">
        <v>41</v>
      </c>
      <c r="F713" s="9" t="s">
        <v>17</v>
      </c>
      <c r="G713" s="9" t="s">
        <v>36</v>
      </c>
      <c r="H713" s="5">
        <v>63</v>
      </c>
      <c r="I713" s="6">
        <v>44038</v>
      </c>
      <c r="J713" s="7">
        <v>216195</v>
      </c>
      <c r="K713" s="9" t="s">
        <v>19</v>
      </c>
      <c r="L713" s="9" t="s">
        <v>45</v>
      </c>
      <c r="M713">
        <f t="shared" ca="1" si="22"/>
        <v>5</v>
      </c>
      <c r="N713">
        <f t="shared" ca="1" si="23"/>
        <v>3</v>
      </c>
    </row>
    <row r="714" spans="1:14" x14ac:dyDescent="0.3">
      <c r="A714" s="5" t="s">
        <v>1417</v>
      </c>
      <c r="B714" s="9" t="s">
        <v>1418</v>
      </c>
      <c r="C714" s="9" t="s">
        <v>44</v>
      </c>
      <c r="D714" s="9" t="s">
        <v>50</v>
      </c>
      <c r="E714" s="9" t="s">
        <v>41</v>
      </c>
      <c r="F714" s="9" t="s">
        <v>35</v>
      </c>
      <c r="G714" s="9" t="s">
        <v>36</v>
      </c>
      <c r="H714" s="5">
        <v>28</v>
      </c>
      <c r="I714" s="6">
        <v>42867</v>
      </c>
      <c r="J714" s="7">
        <v>52069</v>
      </c>
      <c r="K714" s="9" t="s">
        <v>1310</v>
      </c>
      <c r="L714" s="9" t="s">
        <v>1311</v>
      </c>
      <c r="M714">
        <f t="shared" ca="1" si="22"/>
        <v>8</v>
      </c>
      <c r="N714">
        <f t="shared" ca="1" si="23"/>
        <v>5.5</v>
      </c>
    </row>
    <row r="715" spans="1:14" x14ac:dyDescent="0.3">
      <c r="A715" s="5" t="s">
        <v>1326</v>
      </c>
      <c r="B715" s="9" t="s">
        <v>1327</v>
      </c>
      <c r="C715" s="9" t="s">
        <v>181</v>
      </c>
      <c r="D715" s="9" t="s">
        <v>79</v>
      </c>
      <c r="E715" s="9" t="s">
        <v>25</v>
      </c>
      <c r="F715" s="9" t="s">
        <v>35</v>
      </c>
      <c r="G715" s="9" t="s">
        <v>36</v>
      </c>
      <c r="H715" s="5">
        <v>30</v>
      </c>
      <c r="I715" s="6">
        <v>42642</v>
      </c>
      <c r="J715" s="7">
        <v>59100</v>
      </c>
      <c r="K715" s="9" t="s">
        <v>1310</v>
      </c>
      <c r="L715" s="9" t="s">
        <v>1311</v>
      </c>
      <c r="M715">
        <f t="shared" ca="1" si="22"/>
        <v>9</v>
      </c>
      <c r="N715">
        <f t="shared" ca="1" si="23"/>
        <v>5.5</v>
      </c>
    </row>
    <row r="716" spans="1:14" x14ac:dyDescent="0.3">
      <c r="A716" s="5" t="s">
        <v>751</v>
      </c>
      <c r="B716" s="9" t="s">
        <v>752</v>
      </c>
      <c r="C716" s="9" t="s">
        <v>14</v>
      </c>
      <c r="D716" s="9" t="s">
        <v>68</v>
      </c>
      <c r="E716" s="9" t="s">
        <v>25</v>
      </c>
      <c r="F716" s="9" t="s">
        <v>17</v>
      </c>
      <c r="G716" s="9" t="s">
        <v>36</v>
      </c>
      <c r="H716" s="5">
        <v>35</v>
      </c>
      <c r="I716" s="6">
        <v>41690</v>
      </c>
      <c r="J716" s="7">
        <v>155905</v>
      </c>
      <c r="K716" s="9" t="s">
        <v>19</v>
      </c>
      <c r="L716" s="9" t="s">
        <v>37</v>
      </c>
      <c r="M716">
        <f t="shared" ca="1" si="22"/>
        <v>11</v>
      </c>
      <c r="N716">
        <f t="shared" ca="1" si="23"/>
        <v>5.5</v>
      </c>
    </row>
    <row r="717" spans="1:14" x14ac:dyDescent="0.3">
      <c r="A717" s="5" t="s">
        <v>1399</v>
      </c>
      <c r="B717" s="9" t="s">
        <v>1400</v>
      </c>
      <c r="C717" s="9" t="s">
        <v>181</v>
      </c>
      <c r="D717" s="9" t="s">
        <v>79</v>
      </c>
      <c r="E717" s="9" t="s">
        <v>31</v>
      </c>
      <c r="F717" s="9" t="s">
        <v>17</v>
      </c>
      <c r="G717" s="9" t="s">
        <v>36</v>
      </c>
      <c r="H717" s="5">
        <v>46</v>
      </c>
      <c r="I717" s="6">
        <v>38066</v>
      </c>
      <c r="J717" s="7">
        <v>73004</v>
      </c>
      <c r="K717" s="9" t="s">
        <v>1310</v>
      </c>
      <c r="L717" s="9" t="s">
        <v>1323</v>
      </c>
      <c r="M717">
        <f t="shared" ca="1" si="22"/>
        <v>21</v>
      </c>
      <c r="N717">
        <f t="shared" ca="1" si="23"/>
        <v>9.5</v>
      </c>
    </row>
    <row r="718" spans="1:14" x14ac:dyDescent="0.3">
      <c r="A718" s="5" t="s">
        <v>829</v>
      </c>
      <c r="B718" s="9" t="s">
        <v>830</v>
      </c>
      <c r="C718" s="9" t="s">
        <v>136</v>
      </c>
      <c r="D718" s="9" t="s">
        <v>60</v>
      </c>
      <c r="E718" s="9" t="s">
        <v>41</v>
      </c>
      <c r="F718" s="9" t="s">
        <v>35</v>
      </c>
      <c r="G718" s="9" t="s">
        <v>26</v>
      </c>
      <c r="H718" s="5">
        <v>47</v>
      </c>
      <c r="I718" s="6">
        <v>43990</v>
      </c>
      <c r="J718" s="7">
        <v>115765</v>
      </c>
      <c r="K718" s="9" t="s">
        <v>19</v>
      </c>
      <c r="L718" s="9" t="s">
        <v>45</v>
      </c>
      <c r="M718">
        <f t="shared" ca="1" si="22"/>
        <v>5</v>
      </c>
      <c r="N718">
        <f t="shared" ca="1" si="23"/>
        <v>3</v>
      </c>
    </row>
    <row r="719" spans="1:14" x14ac:dyDescent="0.3">
      <c r="A719" s="5" t="s">
        <v>245</v>
      </c>
      <c r="B719" s="9" t="s">
        <v>246</v>
      </c>
      <c r="C719" s="9" t="s">
        <v>101</v>
      </c>
      <c r="D719" s="9" t="s">
        <v>15</v>
      </c>
      <c r="E719" s="9" t="s">
        <v>16</v>
      </c>
      <c r="F719" s="9" t="s">
        <v>35</v>
      </c>
      <c r="G719" s="9" t="s">
        <v>73</v>
      </c>
      <c r="H719" s="5">
        <v>51</v>
      </c>
      <c r="I719" s="6">
        <v>39553</v>
      </c>
      <c r="J719" s="7">
        <v>86431</v>
      </c>
      <c r="K719" s="9" t="s">
        <v>19</v>
      </c>
      <c r="L719" s="9" t="s">
        <v>76</v>
      </c>
      <c r="M719">
        <f t="shared" ca="1" si="22"/>
        <v>17</v>
      </c>
      <c r="N719">
        <f t="shared" ca="1" si="23"/>
        <v>8</v>
      </c>
    </row>
    <row r="720" spans="1:14" x14ac:dyDescent="0.3">
      <c r="A720" s="5" t="s">
        <v>802</v>
      </c>
      <c r="B720" s="9" t="s">
        <v>803</v>
      </c>
      <c r="C720" s="9" t="s">
        <v>139</v>
      </c>
      <c r="D720" s="9" t="s">
        <v>56</v>
      </c>
      <c r="E720" s="9" t="s">
        <v>25</v>
      </c>
      <c r="F720" s="9" t="s">
        <v>35</v>
      </c>
      <c r="G720" s="9" t="s">
        <v>26</v>
      </c>
      <c r="H720" s="5">
        <v>28</v>
      </c>
      <c r="I720" s="6">
        <v>44374</v>
      </c>
      <c r="J720" s="7">
        <v>48510</v>
      </c>
      <c r="K720" s="9" t="s">
        <v>19</v>
      </c>
      <c r="L720" s="9" t="s">
        <v>27</v>
      </c>
      <c r="M720">
        <f t="shared" ca="1" si="22"/>
        <v>4</v>
      </c>
      <c r="N720">
        <f t="shared" ca="1" si="23"/>
        <v>3</v>
      </c>
    </row>
    <row r="721" spans="1:14" x14ac:dyDescent="0.3">
      <c r="A721" s="5" t="s">
        <v>104</v>
      </c>
      <c r="B721" s="9" t="s">
        <v>105</v>
      </c>
      <c r="C721" s="9" t="s">
        <v>67</v>
      </c>
      <c r="D721" s="9" t="s">
        <v>15</v>
      </c>
      <c r="E721" s="9" t="s">
        <v>25</v>
      </c>
      <c r="F721" s="9" t="s">
        <v>35</v>
      </c>
      <c r="G721" s="9" t="s">
        <v>26</v>
      </c>
      <c r="H721" s="5">
        <v>52</v>
      </c>
      <c r="I721" s="6">
        <v>38664</v>
      </c>
      <c r="J721" s="7">
        <v>199808</v>
      </c>
      <c r="K721" s="9" t="s">
        <v>19</v>
      </c>
      <c r="L721" s="9" t="s">
        <v>20</v>
      </c>
      <c r="M721">
        <f t="shared" ca="1" si="22"/>
        <v>20</v>
      </c>
      <c r="N721">
        <f t="shared" ca="1" si="23"/>
        <v>9.5</v>
      </c>
    </row>
    <row r="722" spans="1:14" x14ac:dyDescent="0.3">
      <c r="A722" s="5" t="s">
        <v>827</v>
      </c>
      <c r="B722" s="9" t="s">
        <v>828</v>
      </c>
      <c r="C722" s="9" t="s">
        <v>91</v>
      </c>
      <c r="D722" s="9" t="s">
        <v>79</v>
      </c>
      <c r="E722" s="9" t="s">
        <v>16</v>
      </c>
      <c r="F722" s="9" t="s">
        <v>35</v>
      </c>
      <c r="G722" s="9" t="s">
        <v>36</v>
      </c>
      <c r="H722" s="5">
        <v>34</v>
      </c>
      <c r="I722" s="6">
        <v>43169</v>
      </c>
      <c r="J722" s="7">
        <v>58993</v>
      </c>
      <c r="K722" s="9" t="s">
        <v>19</v>
      </c>
      <c r="L722" s="9" t="s">
        <v>51</v>
      </c>
      <c r="M722">
        <f t="shared" ca="1" si="22"/>
        <v>7</v>
      </c>
      <c r="N722">
        <f t="shared" ca="1" si="23"/>
        <v>4</v>
      </c>
    </row>
    <row r="723" spans="1:14" x14ac:dyDescent="0.3">
      <c r="A723" s="5" t="s">
        <v>981</v>
      </c>
      <c r="B723" s="9" t="s">
        <v>982</v>
      </c>
      <c r="C723" s="9" t="s">
        <v>67</v>
      </c>
      <c r="D723" s="9" t="s">
        <v>68</v>
      </c>
      <c r="E723" s="9" t="s">
        <v>41</v>
      </c>
      <c r="F723" s="9" t="s">
        <v>35</v>
      </c>
      <c r="G723" s="9" t="s">
        <v>36</v>
      </c>
      <c r="H723" s="5">
        <v>45</v>
      </c>
      <c r="I723" s="6">
        <v>42271</v>
      </c>
      <c r="J723" s="7">
        <v>202680</v>
      </c>
      <c r="K723" s="9" t="s">
        <v>19</v>
      </c>
      <c r="L723" s="9" t="s">
        <v>37</v>
      </c>
      <c r="M723">
        <f t="shared" ca="1" si="22"/>
        <v>10</v>
      </c>
      <c r="N723">
        <f t="shared" ca="1" si="23"/>
        <v>5.5</v>
      </c>
    </row>
    <row r="724" spans="1:14" x14ac:dyDescent="0.3">
      <c r="A724" s="5" t="s">
        <v>1241</v>
      </c>
      <c r="B724" s="9" t="s">
        <v>1242</v>
      </c>
      <c r="C724" s="9" t="s">
        <v>91</v>
      </c>
      <c r="D724" s="9" t="s">
        <v>79</v>
      </c>
      <c r="E724" s="9" t="s">
        <v>31</v>
      </c>
      <c r="F724" s="9" t="s">
        <v>35</v>
      </c>
      <c r="G724" s="9" t="s">
        <v>73</v>
      </c>
      <c r="H724" s="5">
        <v>39</v>
      </c>
      <c r="I724" s="6">
        <v>39229</v>
      </c>
      <c r="J724" s="7">
        <v>51234</v>
      </c>
      <c r="K724" s="9" t="s">
        <v>19</v>
      </c>
      <c r="L724" s="9" t="s">
        <v>20</v>
      </c>
      <c r="M724">
        <f t="shared" ca="1" si="22"/>
        <v>18</v>
      </c>
      <c r="N724">
        <f t="shared" ca="1" si="23"/>
        <v>9.5</v>
      </c>
    </row>
    <row r="725" spans="1:14" x14ac:dyDescent="0.3">
      <c r="A725" s="5" t="s">
        <v>214</v>
      </c>
      <c r="B725" s="9" t="s">
        <v>215</v>
      </c>
      <c r="C725" s="9" t="s">
        <v>67</v>
      </c>
      <c r="D725" s="9" t="s">
        <v>79</v>
      </c>
      <c r="E725" s="9" t="s">
        <v>41</v>
      </c>
      <c r="F725" s="9" t="s">
        <v>35</v>
      </c>
      <c r="G725" s="9" t="s">
        <v>73</v>
      </c>
      <c r="H725" s="5">
        <v>61</v>
      </c>
      <c r="I725" s="6">
        <v>43732</v>
      </c>
      <c r="J725" s="7">
        <v>201464</v>
      </c>
      <c r="K725" s="9" t="s">
        <v>19</v>
      </c>
      <c r="L725" s="9" t="s">
        <v>27</v>
      </c>
      <c r="M725">
        <f t="shared" ca="1" si="22"/>
        <v>6</v>
      </c>
      <c r="N725">
        <f t="shared" ca="1" si="23"/>
        <v>4</v>
      </c>
    </row>
    <row r="726" spans="1:14" x14ac:dyDescent="0.3">
      <c r="A726" s="5" t="s">
        <v>214</v>
      </c>
      <c r="B726" s="9" t="s">
        <v>1060</v>
      </c>
      <c r="C726" s="9" t="s">
        <v>157</v>
      </c>
      <c r="D726" s="9" t="s">
        <v>15</v>
      </c>
      <c r="E726" s="9" t="s">
        <v>16</v>
      </c>
      <c r="F726" s="9" t="s">
        <v>35</v>
      </c>
      <c r="G726" s="9" t="s">
        <v>26</v>
      </c>
      <c r="H726" s="5">
        <v>48</v>
      </c>
      <c r="I726" s="6">
        <v>40435</v>
      </c>
      <c r="J726" s="7">
        <v>99335</v>
      </c>
      <c r="K726" s="9" t="s">
        <v>19</v>
      </c>
      <c r="L726" s="9" t="s">
        <v>37</v>
      </c>
      <c r="M726">
        <f t="shared" ca="1" si="22"/>
        <v>15</v>
      </c>
      <c r="N726">
        <f t="shared" ca="1" si="23"/>
        <v>8</v>
      </c>
    </row>
    <row r="727" spans="1:14" x14ac:dyDescent="0.3">
      <c r="A727" s="5" t="s">
        <v>537</v>
      </c>
      <c r="B727" s="9" t="s">
        <v>538</v>
      </c>
      <c r="C727" s="9" t="s">
        <v>23</v>
      </c>
      <c r="D727" s="9" t="s">
        <v>68</v>
      </c>
      <c r="E727" s="9" t="s">
        <v>31</v>
      </c>
      <c r="F727" s="9" t="s">
        <v>17</v>
      </c>
      <c r="G727" s="9" t="s">
        <v>36</v>
      </c>
      <c r="H727" s="5">
        <v>64</v>
      </c>
      <c r="I727" s="6">
        <v>40588</v>
      </c>
      <c r="J727" s="7">
        <v>171217</v>
      </c>
      <c r="K727" s="9" t="s">
        <v>19</v>
      </c>
      <c r="L727" s="9" t="s">
        <v>20</v>
      </c>
      <c r="M727">
        <f t="shared" ca="1" si="22"/>
        <v>14</v>
      </c>
      <c r="N727">
        <f t="shared" ca="1" si="23"/>
        <v>8</v>
      </c>
    </row>
    <row r="728" spans="1:14" x14ac:dyDescent="0.3">
      <c r="A728" s="5" t="s">
        <v>1141</v>
      </c>
      <c r="B728" s="9" t="s">
        <v>1142</v>
      </c>
      <c r="C728" s="9" t="s">
        <v>96</v>
      </c>
      <c r="D728" s="9" t="s">
        <v>15</v>
      </c>
      <c r="E728" s="9" t="s">
        <v>25</v>
      </c>
      <c r="F728" s="9" t="s">
        <v>35</v>
      </c>
      <c r="G728" s="9" t="s">
        <v>26</v>
      </c>
      <c r="H728" s="5">
        <v>61</v>
      </c>
      <c r="I728" s="6">
        <v>43703</v>
      </c>
      <c r="J728" s="7">
        <v>75780</v>
      </c>
      <c r="K728" s="9" t="s">
        <v>19</v>
      </c>
      <c r="L728" s="9" t="s">
        <v>20</v>
      </c>
      <c r="M728">
        <f t="shared" ca="1" si="22"/>
        <v>6</v>
      </c>
      <c r="N728">
        <f t="shared" ca="1" si="23"/>
        <v>4</v>
      </c>
    </row>
    <row r="729" spans="1:14" x14ac:dyDescent="0.3">
      <c r="A729" s="5" t="s">
        <v>1670</v>
      </c>
      <c r="B729" s="9" t="s">
        <v>1671</v>
      </c>
      <c r="C729" s="9" t="s">
        <v>91</v>
      </c>
      <c r="D729" s="9" t="s">
        <v>79</v>
      </c>
      <c r="E729" s="9" t="s">
        <v>16</v>
      </c>
      <c r="F729" s="9" t="s">
        <v>17</v>
      </c>
      <c r="G729" s="9" t="s">
        <v>36</v>
      </c>
      <c r="H729" s="5">
        <v>45</v>
      </c>
      <c r="I729" s="6">
        <v>43557</v>
      </c>
      <c r="J729" s="7">
        <v>52621</v>
      </c>
      <c r="K729" s="9" t="s">
        <v>1310</v>
      </c>
      <c r="L729" s="9" t="s">
        <v>1323</v>
      </c>
      <c r="M729">
        <f t="shared" ca="1" si="22"/>
        <v>6</v>
      </c>
      <c r="N729">
        <f t="shared" ca="1" si="23"/>
        <v>4</v>
      </c>
    </row>
    <row r="730" spans="1:14" x14ac:dyDescent="0.3">
      <c r="A730" s="5" t="s">
        <v>199</v>
      </c>
      <c r="B730" s="9" t="s">
        <v>200</v>
      </c>
      <c r="C730" s="9" t="s">
        <v>14</v>
      </c>
      <c r="D730" s="9" t="s">
        <v>24</v>
      </c>
      <c r="E730" s="9" t="s">
        <v>25</v>
      </c>
      <c r="F730" s="9" t="s">
        <v>35</v>
      </c>
      <c r="G730" s="9" t="s">
        <v>18</v>
      </c>
      <c r="H730" s="5">
        <v>64</v>
      </c>
      <c r="I730" s="6">
        <v>41454</v>
      </c>
      <c r="J730" s="7">
        <v>159571</v>
      </c>
      <c r="K730" s="9" t="s">
        <v>19</v>
      </c>
      <c r="L730" s="9" t="s">
        <v>76</v>
      </c>
      <c r="M730">
        <f t="shared" ca="1" si="22"/>
        <v>12</v>
      </c>
      <c r="N730">
        <f t="shared" ca="1" si="23"/>
        <v>8</v>
      </c>
    </row>
    <row r="731" spans="1:14" x14ac:dyDescent="0.3">
      <c r="A731" s="5" t="s">
        <v>325</v>
      </c>
      <c r="B731" s="9" t="s">
        <v>326</v>
      </c>
      <c r="C731" s="9" t="s">
        <v>136</v>
      </c>
      <c r="D731" s="9" t="s">
        <v>60</v>
      </c>
      <c r="E731" s="9" t="s">
        <v>25</v>
      </c>
      <c r="F731" s="9" t="s">
        <v>35</v>
      </c>
      <c r="G731" s="9" t="s">
        <v>26</v>
      </c>
      <c r="H731" s="5">
        <v>51</v>
      </c>
      <c r="I731" s="6">
        <v>36442</v>
      </c>
      <c r="J731" s="7">
        <v>95639</v>
      </c>
      <c r="K731" s="9" t="s">
        <v>19</v>
      </c>
      <c r="L731" s="9" t="s">
        <v>51</v>
      </c>
      <c r="M731">
        <f t="shared" ca="1" si="22"/>
        <v>26</v>
      </c>
      <c r="N731">
        <f t="shared" ca="1" si="23"/>
        <v>10</v>
      </c>
    </row>
    <row r="732" spans="1:14" x14ac:dyDescent="0.3">
      <c r="A732" s="5" t="s">
        <v>673</v>
      </c>
      <c r="B732" s="9" t="s">
        <v>674</v>
      </c>
      <c r="C732" s="9" t="s">
        <v>40</v>
      </c>
      <c r="D732" s="9" t="s">
        <v>15</v>
      </c>
      <c r="E732" s="9" t="s">
        <v>16</v>
      </c>
      <c r="F732" s="9" t="s">
        <v>35</v>
      </c>
      <c r="G732" s="9" t="s">
        <v>26</v>
      </c>
      <c r="H732" s="5">
        <v>46</v>
      </c>
      <c r="I732" s="6">
        <v>44419</v>
      </c>
      <c r="J732" s="7">
        <v>127559</v>
      </c>
      <c r="K732" s="9" t="s">
        <v>19</v>
      </c>
      <c r="L732" s="9" t="s">
        <v>51</v>
      </c>
      <c r="M732">
        <f t="shared" ca="1" si="22"/>
        <v>4</v>
      </c>
      <c r="N732">
        <f t="shared" ca="1" si="23"/>
        <v>3</v>
      </c>
    </row>
    <row r="733" spans="1:14" x14ac:dyDescent="0.3">
      <c r="A733" s="5" t="s">
        <v>920</v>
      </c>
      <c r="B733" s="9" t="s">
        <v>921</v>
      </c>
      <c r="C733" s="9" t="s">
        <v>96</v>
      </c>
      <c r="D733" s="9" t="s">
        <v>15</v>
      </c>
      <c r="E733" s="9" t="s">
        <v>16</v>
      </c>
      <c r="F733" s="9" t="s">
        <v>35</v>
      </c>
      <c r="G733" s="9" t="s">
        <v>73</v>
      </c>
      <c r="H733" s="5">
        <v>28</v>
      </c>
      <c r="I733" s="6">
        <v>43006</v>
      </c>
      <c r="J733" s="7">
        <v>97336</v>
      </c>
      <c r="K733" s="9" t="s">
        <v>19</v>
      </c>
      <c r="L733" s="9" t="s">
        <v>51</v>
      </c>
      <c r="M733">
        <f t="shared" ca="1" si="22"/>
        <v>8</v>
      </c>
      <c r="N733">
        <f t="shared" ca="1" si="23"/>
        <v>5.5</v>
      </c>
    </row>
    <row r="734" spans="1:14" x14ac:dyDescent="0.3">
      <c r="A734" s="5" t="s">
        <v>505</v>
      </c>
      <c r="B734" s="9" t="s">
        <v>506</v>
      </c>
      <c r="C734" s="9" t="s">
        <v>23</v>
      </c>
      <c r="D734" s="9" t="s">
        <v>50</v>
      </c>
      <c r="E734" s="9" t="s">
        <v>16</v>
      </c>
      <c r="F734" s="9" t="s">
        <v>35</v>
      </c>
      <c r="G734" s="9" t="s">
        <v>26</v>
      </c>
      <c r="H734" s="5">
        <v>36</v>
      </c>
      <c r="I734" s="6">
        <v>42616</v>
      </c>
      <c r="J734" s="7">
        <v>150399</v>
      </c>
      <c r="K734" s="9" t="s">
        <v>19</v>
      </c>
      <c r="L734" s="9" t="s">
        <v>27</v>
      </c>
      <c r="M734">
        <f t="shared" ca="1" si="22"/>
        <v>9</v>
      </c>
      <c r="N734">
        <f t="shared" ca="1" si="23"/>
        <v>5.5</v>
      </c>
    </row>
    <row r="735" spans="1:14" x14ac:dyDescent="0.3">
      <c r="A735" s="5" t="s">
        <v>1163</v>
      </c>
      <c r="B735" s="9" t="s">
        <v>1164</v>
      </c>
      <c r="C735" s="9" t="s">
        <v>121</v>
      </c>
      <c r="D735" s="9" t="s">
        <v>56</v>
      </c>
      <c r="E735" s="9" t="s">
        <v>25</v>
      </c>
      <c r="F735" s="9" t="s">
        <v>35</v>
      </c>
      <c r="G735" s="9" t="s">
        <v>36</v>
      </c>
      <c r="H735" s="5">
        <v>25</v>
      </c>
      <c r="I735" s="6">
        <v>44217</v>
      </c>
      <c r="J735" s="7">
        <v>67299</v>
      </c>
      <c r="K735" s="9" t="s">
        <v>19</v>
      </c>
      <c r="L735" s="9" t="s">
        <v>37</v>
      </c>
      <c r="M735">
        <f t="shared" ca="1" si="22"/>
        <v>4</v>
      </c>
      <c r="N735">
        <f t="shared" ca="1" si="23"/>
        <v>3</v>
      </c>
    </row>
    <row r="736" spans="1:14" x14ac:dyDescent="0.3">
      <c r="A736" s="5" t="s">
        <v>886</v>
      </c>
      <c r="B736" s="9" t="s">
        <v>887</v>
      </c>
      <c r="C736" s="9" t="s">
        <v>40</v>
      </c>
      <c r="D736" s="9" t="s">
        <v>50</v>
      </c>
      <c r="E736" s="9" t="s">
        <v>41</v>
      </c>
      <c r="F736" s="9" t="s">
        <v>17</v>
      </c>
      <c r="G736" s="9" t="s">
        <v>26</v>
      </c>
      <c r="H736" s="5">
        <v>38</v>
      </c>
      <c r="I736" s="6">
        <v>42228</v>
      </c>
      <c r="J736" s="7">
        <v>106858</v>
      </c>
      <c r="K736" s="9" t="s">
        <v>19</v>
      </c>
      <c r="L736" s="9" t="s">
        <v>20</v>
      </c>
      <c r="M736">
        <f t="shared" ca="1" si="22"/>
        <v>10</v>
      </c>
      <c r="N736">
        <f t="shared" ca="1" si="23"/>
        <v>5.5</v>
      </c>
    </row>
    <row r="737" spans="1:14" x14ac:dyDescent="0.3">
      <c r="A737" s="5" t="s">
        <v>947</v>
      </c>
      <c r="B737" s="9" t="s">
        <v>948</v>
      </c>
      <c r="C737" s="9" t="s">
        <v>181</v>
      </c>
      <c r="D737" s="9" t="s">
        <v>79</v>
      </c>
      <c r="E737" s="9" t="s">
        <v>41</v>
      </c>
      <c r="F737" s="9" t="s">
        <v>17</v>
      </c>
      <c r="G737" s="9" t="s">
        <v>18</v>
      </c>
      <c r="H737" s="5">
        <v>26</v>
      </c>
      <c r="I737" s="6">
        <v>43698</v>
      </c>
      <c r="J737" s="7">
        <v>66084</v>
      </c>
      <c r="K737" s="9" t="s">
        <v>19</v>
      </c>
      <c r="L737" s="9" t="s">
        <v>20</v>
      </c>
      <c r="M737">
        <f t="shared" ca="1" si="22"/>
        <v>6</v>
      </c>
      <c r="N737">
        <f t="shared" ca="1" si="23"/>
        <v>4</v>
      </c>
    </row>
    <row r="738" spans="1:14" x14ac:dyDescent="0.3">
      <c r="A738" s="5" t="s">
        <v>916</v>
      </c>
      <c r="B738" s="9" t="s">
        <v>917</v>
      </c>
      <c r="C738" s="9" t="s">
        <v>44</v>
      </c>
      <c r="D738" s="9" t="s">
        <v>68</v>
      </c>
      <c r="E738" s="9" t="s">
        <v>25</v>
      </c>
      <c r="F738" s="9" t="s">
        <v>17</v>
      </c>
      <c r="G738" s="9" t="s">
        <v>26</v>
      </c>
      <c r="H738" s="5">
        <v>28</v>
      </c>
      <c r="I738" s="6">
        <v>43847</v>
      </c>
      <c r="J738" s="7">
        <v>45061</v>
      </c>
      <c r="K738" s="9" t="s">
        <v>19</v>
      </c>
      <c r="L738" s="9" t="s">
        <v>45</v>
      </c>
      <c r="M738">
        <f t="shared" ca="1" si="22"/>
        <v>5</v>
      </c>
      <c r="N738">
        <f t="shared" ca="1" si="23"/>
        <v>3</v>
      </c>
    </row>
    <row r="739" spans="1:14" x14ac:dyDescent="0.3">
      <c r="A739" s="5" t="s">
        <v>1788</v>
      </c>
      <c r="B739" s="9" t="s">
        <v>1789</v>
      </c>
      <c r="C739" s="9" t="s">
        <v>142</v>
      </c>
      <c r="D739" s="9" t="s">
        <v>60</v>
      </c>
      <c r="E739" s="9" t="s">
        <v>25</v>
      </c>
      <c r="F739" s="9" t="s">
        <v>17</v>
      </c>
      <c r="G739" s="9" t="s">
        <v>73</v>
      </c>
      <c r="H739" s="5">
        <v>45</v>
      </c>
      <c r="I739" s="6">
        <v>41712</v>
      </c>
      <c r="J739" s="7">
        <v>113873</v>
      </c>
      <c r="K739" s="9" t="s">
        <v>1717</v>
      </c>
      <c r="L739" s="9" t="s">
        <v>1721</v>
      </c>
      <c r="M739">
        <f t="shared" ca="1" si="22"/>
        <v>11</v>
      </c>
      <c r="N739">
        <f t="shared" ca="1" si="23"/>
        <v>5.5</v>
      </c>
    </row>
    <row r="740" spans="1:14" x14ac:dyDescent="0.3">
      <c r="A740" s="5" t="s">
        <v>1715</v>
      </c>
      <c r="B740" s="9" t="s">
        <v>1716</v>
      </c>
      <c r="C740" s="9" t="s">
        <v>14</v>
      </c>
      <c r="D740" s="9" t="s">
        <v>15</v>
      </c>
      <c r="E740" s="9" t="s">
        <v>31</v>
      </c>
      <c r="F740" s="9" t="s">
        <v>35</v>
      </c>
      <c r="G740" s="9" t="s">
        <v>73</v>
      </c>
      <c r="H740" s="5">
        <v>56</v>
      </c>
      <c r="I740" s="6">
        <v>40917</v>
      </c>
      <c r="J740" s="7">
        <v>146140</v>
      </c>
      <c r="K740" s="9" t="s">
        <v>1717</v>
      </c>
      <c r="L740" s="9" t="s">
        <v>1718</v>
      </c>
      <c r="M740">
        <f t="shared" ca="1" si="22"/>
        <v>13</v>
      </c>
      <c r="N740">
        <f t="shared" ca="1" si="23"/>
        <v>8</v>
      </c>
    </row>
    <row r="741" spans="1:14" x14ac:dyDescent="0.3">
      <c r="A741" s="5" t="s">
        <v>975</v>
      </c>
      <c r="B741" s="9" t="s">
        <v>976</v>
      </c>
      <c r="C741" s="9" t="s">
        <v>184</v>
      </c>
      <c r="D741" s="9" t="s">
        <v>56</v>
      </c>
      <c r="E741" s="9" t="s">
        <v>16</v>
      </c>
      <c r="F741" s="9" t="s">
        <v>17</v>
      </c>
      <c r="G741" s="9" t="s">
        <v>36</v>
      </c>
      <c r="H741" s="5">
        <v>45</v>
      </c>
      <c r="I741" s="6">
        <v>43581</v>
      </c>
      <c r="J741" s="7">
        <v>90870</v>
      </c>
      <c r="K741" s="9" t="s">
        <v>19</v>
      </c>
      <c r="L741" s="9" t="s">
        <v>27</v>
      </c>
      <c r="M741">
        <f t="shared" ca="1" si="22"/>
        <v>6</v>
      </c>
      <c r="N741">
        <f t="shared" ca="1" si="23"/>
        <v>4</v>
      </c>
    </row>
    <row r="742" spans="1:14" x14ac:dyDescent="0.3">
      <c r="A742" s="5" t="s">
        <v>1607</v>
      </c>
      <c r="B742" s="9" t="s">
        <v>1608</v>
      </c>
      <c r="C742" s="9" t="s">
        <v>23</v>
      </c>
      <c r="D742" s="9" t="s">
        <v>68</v>
      </c>
      <c r="E742" s="9" t="s">
        <v>25</v>
      </c>
      <c r="F742" s="9" t="s">
        <v>17</v>
      </c>
      <c r="G742" s="9" t="s">
        <v>36</v>
      </c>
      <c r="H742" s="5">
        <v>28</v>
      </c>
      <c r="I742" s="6">
        <v>43810</v>
      </c>
      <c r="J742" s="7">
        <v>182321</v>
      </c>
      <c r="K742" s="9" t="s">
        <v>1310</v>
      </c>
      <c r="L742" s="9" t="s">
        <v>1323</v>
      </c>
      <c r="M742">
        <f t="shared" ca="1" si="22"/>
        <v>5</v>
      </c>
      <c r="N742">
        <f t="shared" ca="1" si="23"/>
        <v>3</v>
      </c>
    </row>
    <row r="743" spans="1:14" x14ac:dyDescent="0.3">
      <c r="A743" s="5" t="s">
        <v>561</v>
      </c>
      <c r="B743" s="9" t="s">
        <v>562</v>
      </c>
      <c r="C743" s="9" t="s">
        <v>451</v>
      </c>
      <c r="D743" s="9" t="s">
        <v>15</v>
      </c>
      <c r="E743" s="9" t="s">
        <v>41</v>
      </c>
      <c r="F743" s="9" t="s">
        <v>35</v>
      </c>
      <c r="G743" s="9" t="s">
        <v>18</v>
      </c>
      <c r="H743" s="5">
        <v>55</v>
      </c>
      <c r="I743" s="6">
        <v>35919</v>
      </c>
      <c r="J743" s="7">
        <v>62174</v>
      </c>
      <c r="K743" s="9" t="s">
        <v>19</v>
      </c>
      <c r="L743" s="9" t="s">
        <v>27</v>
      </c>
      <c r="M743">
        <f t="shared" ca="1" si="22"/>
        <v>27</v>
      </c>
      <c r="N743">
        <f t="shared" ca="1" si="23"/>
        <v>10</v>
      </c>
    </row>
    <row r="744" spans="1:14" x14ac:dyDescent="0.3">
      <c r="A744" s="5" t="s">
        <v>333</v>
      </c>
      <c r="B744" s="9" t="s">
        <v>334</v>
      </c>
      <c r="C744" s="9" t="s">
        <v>34</v>
      </c>
      <c r="D744" s="9" t="s">
        <v>50</v>
      </c>
      <c r="E744" s="9" t="s">
        <v>25</v>
      </c>
      <c r="F744" s="9" t="s">
        <v>35</v>
      </c>
      <c r="G744" s="9" t="s">
        <v>26</v>
      </c>
      <c r="H744" s="5">
        <v>62</v>
      </c>
      <c r="I744" s="6">
        <v>37733</v>
      </c>
      <c r="J744" s="7">
        <v>76906</v>
      </c>
      <c r="K744" s="9" t="s">
        <v>19</v>
      </c>
      <c r="L744" s="9" t="s">
        <v>20</v>
      </c>
      <c r="M744">
        <f t="shared" ca="1" si="22"/>
        <v>22</v>
      </c>
      <c r="N744">
        <f t="shared" ca="1" si="23"/>
        <v>9.5</v>
      </c>
    </row>
    <row r="745" spans="1:14" x14ac:dyDescent="0.3">
      <c r="A745" s="5" t="s">
        <v>1256</v>
      </c>
      <c r="B745" s="9" t="s">
        <v>1257</v>
      </c>
      <c r="C745" s="9" t="s">
        <v>451</v>
      </c>
      <c r="D745" s="9" t="s">
        <v>15</v>
      </c>
      <c r="E745" s="9" t="s">
        <v>25</v>
      </c>
      <c r="F745" s="9" t="s">
        <v>35</v>
      </c>
      <c r="G745" s="9" t="s">
        <v>73</v>
      </c>
      <c r="H745" s="5">
        <v>55</v>
      </c>
      <c r="I745" s="6">
        <v>34290</v>
      </c>
      <c r="J745" s="7">
        <v>80170</v>
      </c>
      <c r="K745" s="9" t="s">
        <v>19</v>
      </c>
      <c r="L745" s="9" t="s">
        <v>45</v>
      </c>
      <c r="M745">
        <f t="shared" ca="1" si="22"/>
        <v>32</v>
      </c>
      <c r="N745">
        <f t="shared" ca="1" si="23"/>
        <v>15</v>
      </c>
    </row>
    <row r="746" spans="1:14" x14ac:dyDescent="0.3">
      <c r="A746" s="5" t="s">
        <v>852</v>
      </c>
      <c r="B746" s="9" t="s">
        <v>962</v>
      </c>
      <c r="C746" s="9" t="s">
        <v>234</v>
      </c>
      <c r="D746" s="9" t="s">
        <v>15</v>
      </c>
      <c r="E746" s="9" t="s">
        <v>41</v>
      </c>
      <c r="F746" s="9" t="s">
        <v>35</v>
      </c>
      <c r="G746" s="9" t="s">
        <v>26</v>
      </c>
      <c r="H746" s="5">
        <v>51</v>
      </c>
      <c r="I746" s="6">
        <v>41697</v>
      </c>
      <c r="J746" s="7">
        <v>53929</v>
      </c>
      <c r="K746" s="9" t="s">
        <v>19</v>
      </c>
      <c r="L746" s="9" t="s">
        <v>45</v>
      </c>
      <c r="M746">
        <f t="shared" ca="1" si="22"/>
        <v>11</v>
      </c>
      <c r="N746">
        <f t="shared" ca="1" si="23"/>
        <v>5.5</v>
      </c>
    </row>
    <row r="747" spans="1:14" x14ac:dyDescent="0.3">
      <c r="A747" s="5" t="s">
        <v>852</v>
      </c>
      <c r="B747" s="9" t="s">
        <v>853</v>
      </c>
      <c r="C747" s="9" t="s">
        <v>67</v>
      </c>
      <c r="D747" s="9" t="s">
        <v>24</v>
      </c>
      <c r="E747" s="9" t="s">
        <v>25</v>
      </c>
      <c r="F747" s="9" t="s">
        <v>17</v>
      </c>
      <c r="G747" s="9" t="s">
        <v>18</v>
      </c>
      <c r="H747" s="5">
        <v>38</v>
      </c>
      <c r="I747" s="6">
        <v>43413</v>
      </c>
      <c r="J747" s="7">
        <v>223805</v>
      </c>
      <c r="K747" s="9" t="s">
        <v>19</v>
      </c>
      <c r="L747" s="9" t="s">
        <v>27</v>
      </c>
      <c r="M747">
        <f t="shared" ca="1" si="22"/>
        <v>7</v>
      </c>
      <c r="N747">
        <f t="shared" ca="1" si="23"/>
        <v>4</v>
      </c>
    </row>
    <row r="748" spans="1:14" x14ac:dyDescent="0.3">
      <c r="A748" s="5" t="s">
        <v>852</v>
      </c>
      <c r="B748" s="9" t="s">
        <v>922</v>
      </c>
      <c r="C748" s="9" t="s">
        <v>14</v>
      </c>
      <c r="D748" s="9" t="s">
        <v>50</v>
      </c>
      <c r="E748" s="9" t="s">
        <v>41</v>
      </c>
      <c r="F748" s="9" t="s">
        <v>17</v>
      </c>
      <c r="G748" s="9" t="s">
        <v>18</v>
      </c>
      <c r="H748" s="5">
        <v>31</v>
      </c>
      <c r="I748" s="6">
        <v>42755</v>
      </c>
      <c r="J748" s="7">
        <v>124629</v>
      </c>
      <c r="K748" s="9" t="s">
        <v>19</v>
      </c>
      <c r="L748" s="9" t="s">
        <v>76</v>
      </c>
      <c r="M748">
        <f t="shared" ca="1" si="22"/>
        <v>8</v>
      </c>
      <c r="N748">
        <f t="shared" ca="1" si="23"/>
        <v>5.5</v>
      </c>
    </row>
    <row r="749" spans="1:14" x14ac:dyDescent="0.3">
      <c r="A749" s="5" t="s">
        <v>699</v>
      </c>
      <c r="B749" s="9" t="s">
        <v>700</v>
      </c>
      <c r="C749" s="9" t="s">
        <v>40</v>
      </c>
      <c r="D749" s="9" t="s">
        <v>79</v>
      </c>
      <c r="E749" s="9" t="s">
        <v>41</v>
      </c>
      <c r="F749" s="9" t="s">
        <v>35</v>
      </c>
      <c r="G749" s="9" t="s">
        <v>26</v>
      </c>
      <c r="H749" s="5">
        <v>28</v>
      </c>
      <c r="I749" s="6">
        <v>44204</v>
      </c>
      <c r="J749" s="7">
        <v>108826</v>
      </c>
      <c r="K749" s="9" t="s">
        <v>19</v>
      </c>
      <c r="L749" s="9" t="s">
        <v>45</v>
      </c>
      <c r="M749">
        <f t="shared" ca="1" si="22"/>
        <v>4</v>
      </c>
      <c r="N749">
        <f t="shared" ca="1" si="23"/>
        <v>3</v>
      </c>
    </row>
    <row r="750" spans="1:14" x14ac:dyDescent="0.3">
      <c r="A750" s="5" t="s">
        <v>1756</v>
      </c>
      <c r="B750" s="9" t="s">
        <v>1757</v>
      </c>
      <c r="C750" s="9" t="s">
        <v>130</v>
      </c>
      <c r="D750" s="9" t="s">
        <v>60</v>
      </c>
      <c r="E750" s="9" t="s">
        <v>31</v>
      </c>
      <c r="F750" s="9" t="s">
        <v>35</v>
      </c>
      <c r="G750" s="9" t="s">
        <v>73</v>
      </c>
      <c r="H750" s="5">
        <v>45</v>
      </c>
      <c r="I750" s="6">
        <v>37313</v>
      </c>
      <c r="J750" s="7">
        <v>75819</v>
      </c>
      <c r="K750" s="9" t="s">
        <v>1717</v>
      </c>
      <c r="L750" s="9" t="s">
        <v>1736</v>
      </c>
      <c r="M750">
        <f t="shared" ca="1" si="22"/>
        <v>23</v>
      </c>
      <c r="N750">
        <f t="shared" ca="1" si="23"/>
        <v>9.5</v>
      </c>
    </row>
    <row r="751" spans="1:14" x14ac:dyDescent="0.3">
      <c r="A751" s="5" t="s">
        <v>1692</v>
      </c>
      <c r="B751" s="9" t="s">
        <v>1693</v>
      </c>
      <c r="C751" s="9" t="s">
        <v>40</v>
      </c>
      <c r="D751" s="9" t="s">
        <v>24</v>
      </c>
      <c r="E751" s="9" t="s">
        <v>41</v>
      </c>
      <c r="F751" s="9" t="s">
        <v>17</v>
      </c>
      <c r="G751" s="9" t="s">
        <v>36</v>
      </c>
      <c r="H751" s="5">
        <v>61</v>
      </c>
      <c r="I751" s="6">
        <v>40092</v>
      </c>
      <c r="J751" s="7">
        <v>103096</v>
      </c>
      <c r="K751" s="9" t="s">
        <v>1310</v>
      </c>
      <c r="L751" s="9" t="s">
        <v>1323</v>
      </c>
      <c r="M751">
        <f t="shared" ca="1" si="22"/>
        <v>16</v>
      </c>
      <c r="N751">
        <f t="shared" ca="1" si="23"/>
        <v>8</v>
      </c>
    </row>
    <row r="752" spans="1:14" x14ac:dyDescent="0.3">
      <c r="A752" s="5" t="s">
        <v>297</v>
      </c>
      <c r="B752" s="9" t="s">
        <v>298</v>
      </c>
      <c r="C752" s="9" t="s">
        <v>44</v>
      </c>
      <c r="D752" s="9" t="s">
        <v>68</v>
      </c>
      <c r="E752" s="9" t="s">
        <v>41</v>
      </c>
      <c r="F752" s="9" t="s">
        <v>35</v>
      </c>
      <c r="G752" s="9" t="s">
        <v>26</v>
      </c>
      <c r="H752" s="5">
        <v>55</v>
      </c>
      <c r="I752" s="6">
        <v>38328</v>
      </c>
      <c r="J752" s="7">
        <v>40752</v>
      </c>
      <c r="K752" s="9" t="s">
        <v>19</v>
      </c>
      <c r="L752" s="9" t="s">
        <v>37</v>
      </c>
      <c r="M752">
        <f t="shared" ca="1" si="22"/>
        <v>20</v>
      </c>
      <c r="N752">
        <f t="shared" ca="1" si="23"/>
        <v>9.5</v>
      </c>
    </row>
    <row r="753" spans="1:14" x14ac:dyDescent="0.3">
      <c r="A753" s="5" t="s">
        <v>114</v>
      </c>
      <c r="B753" s="9" t="s">
        <v>115</v>
      </c>
      <c r="C753" s="9" t="s">
        <v>116</v>
      </c>
      <c r="D753" s="9" t="s">
        <v>60</v>
      </c>
      <c r="E753" s="9" t="s">
        <v>16</v>
      </c>
      <c r="F753" s="9" t="s">
        <v>35</v>
      </c>
      <c r="G753" s="9" t="s">
        <v>26</v>
      </c>
      <c r="H753" s="5">
        <v>52</v>
      </c>
      <c r="I753" s="6">
        <v>41199</v>
      </c>
      <c r="J753" s="7">
        <v>71476</v>
      </c>
      <c r="K753" s="9" t="s">
        <v>19</v>
      </c>
      <c r="L753" s="9" t="s">
        <v>37</v>
      </c>
      <c r="M753">
        <f t="shared" ca="1" si="22"/>
        <v>13</v>
      </c>
      <c r="N753">
        <f t="shared" ca="1" si="23"/>
        <v>8</v>
      </c>
    </row>
    <row r="754" spans="1:14" x14ac:dyDescent="0.3">
      <c r="A754" s="5" t="s">
        <v>114</v>
      </c>
      <c r="B754" s="9" t="s">
        <v>691</v>
      </c>
      <c r="C754" s="9" t="s">
        <v>40</v>
      </c>
      <c r="D754" s="9" t="s">
        <v>24</v>
      </c>
      <c r="E754" s="9" t="s">
        <v>41</v>
      </c>
      <c r="F754" s="9" t="s">
        <v>17</v>
      </c>
      <c r="G754" s="9" t="s">
        <v>26</v>
      </c>
      <c r="H754" s="5">
        <v>48</v>
      </c>
      <c r="I754" s="6">
        <v>36272</v>
      </c>
      <c r="J754" s="7">
        <v>102847</v>
      </c>
      <c r="K754" s="9" t="s">
        <v>19</v>
      </c>
      <c r="L754" s="9" t="s">
        <v>27</v>
      </c>
      <c r="M754">
        <f t="shared" ca="1" si="22"/>
        <v>26</v>
      </c>
      <c r="N754">
        <f t="shared" ca="1" si="23"/>
        <v>10</v>
      </c>
    </row>
    <row r="755" spans="1:14" x14ac:dyDescent="0.3">
      <c r="A755" s="5" t="s">
        <v>1370</v>
      </c>
      <c r="B755" s="9" t="s">
        <v>1371</v>
      </c>
      <c r="C755" s="9" t="s">
        <v>67</v>
      </c>
      <c r="D755" s="9" t="s">
        <v>56</v>
      </c>
      <c r="E755" s="9" t="s">
        <v>31</v>
      </c>
      <c r="F755" s="9" t="s">
        <v>17</v>
      </c>
      <c r="G755" s="9" t="s">
        <v>36</v>
      </c>
      <c r="H755" s="5">
        <v>49</v>
      </c>
      <c r="I755" s="6">
        <v>37680</v>
      </c>
      <c r="J755" s="7">
        <v>211291</v>
      </c>
      <c r="K755" s="9" t="s">
        <v>1310</v>
      </c>
      <c r="L755" s="9" t="s">
        <v>1311</v>
      </c>
      <c r="M755">
        <f t="shared" ca="1" si="22"/>
        <v>22</v>
      </c>
      <c r="N755">
        <f t="shared" ca="1" si="23"/>
        <v>9.5</v>
      </c>
    </row>
    <row r="756" spans="1:14" x14ac:dyDescent="0.3">
      <c r="A756" s="5" t="s">
        <v>102</v>
      </c>
      <c r="B756" s="9" t="s">
        <v>103</v>
      </c>
      <c r="C756" s="9" t="s">
        <v>40</v>
      </c>
      <c r="D756" s="9" t="s">
        <v>68</v>
      </c>
      <c r="E756" s="9" t="s">
        <v>25</v>
      </c>
      <c r="F756" s="9" t="s">
        <v>17</v>
      </c>
      <c r="G756" s="9" t="s">
        <v>26</v>
      </c>
      <c r="H756" s="5">
        <v>53</v>
      </c>
      <c r="I756" s="6">
        <v>41601</v>
      </c>
      <c r="J756" s="7">
        <v>113135</v>
      </c>
      <c r="K756" s="9" t="s">
        <v>19</v>
      </c>
      <c r="L756" s="9" t="s">
        <v>51</v>
      </c>
      <c r="M756">
        <f t="shared" ca="1" si="22"/>
        <v>12</v>
      </c>
      <c r="N756">
        <f t="shared" ca="1" si="23"/>
        <v>8</v>
      </c>
    </row>
    <row r="757" spans="1:14" x14ac:dyDescent="0.3">
      <c r="A757" s="5" t="s">
        <v>842</v>
      </c>
      <c r="B757" s="9" t="s">
        <v>1520</v>
      </c>
      <c r="C757" s="9" t="s">
        <v>23</v>
      </c>
      <c r="D757" s="9" t="s">
        <v>60</v>
      </c>
      <c r="E757" s="9" t="s">
        <v>25</v>
      </c>
      <c r="F757" s="9" t="s">
        <v>35</v>
      </c>
      <c r="G757" s="9" t="s">
        <v>36</v>
      </c>
      <c r="H757" s="5">
        <v>64</v>
      </c>
      <c r="I757" s="6">
        <v>34940</v>
      </c>
      <c r="J757" s="7">
        <v>158787</v>
      </c>
      <c r="K757" s="9" t="s">
        <v>1310</v>
      </c>
      <c r="L757" s="9" t="s">
        <v>1330</v>
      </c>
      <c r="M757">
        <f t="shared" ca="1" si="22"/>
        <v>30</v>
      </c>
      <c r="N757">
        <f t="shared" ca="1" si="23"/>
        <v>15</v>
      </c>
    </row>
    <row r="758" spans="1:14" x14ac:dyDescent="0.3">
      <c r="A758" s="5" t="s">
        <v>842</v>
      </c>
      <c r="B758" s="9" t="s">
        <v>843</v>
      </c>
      <c r="C758" s="9" t="s">
        <v>91</v>
      </c>
      <c r="D758" s="9" t="s">
        <v>50</v>
      </c>
      <c r="E758" s="9" t="s">
        <v>25</v>
      </c>
      <c r="F758" s="9" t="s">
        <v>35</v>
      </c>
      <c r="G758" s="9" t="s">
        <v>36</v>
      </c>
      <c r="H758" s="5">
        <v>28</v>
      </c>
      <c r="I758" s="6">
        <v>43336</v>
      </c>
      <c r="J758" s="7">
        <v>61410</v>
      </c>
      <c r="K758" s="9" t="s">
        <v>19</v>
      </c>
      <c r="L758" s="9" t="s">
        <v>37</v>
      </c>
      <c r="M758">
        <f t="shared" ca="1" si="22"/>
        <v>7</v>
      </c>
      <c r="N758">
        <f t="shared" ca="1" si="23"/>
        <v>4</v>
      </c>
    </row>
    <row r="759" spans="1:14" x14ac:dyDescent="0.3">
      <c r="A759" s="5" t="s">
        <v>798</v>
      </c>
      <c r="B759" s="9" t="s">
        <v>799</v>
      </c>
      <c r="C759" s="9" t="s">
        <v>23</v>
      </c>
      <c r="D759" s="9" t="s">
        <v>68</v>
      </c>
      <c r="E759" s="9" t="s">
        <v>16</v>
      </c>
      <c r="F759" s="9" t="s">
        <v>35</v>
      </c>
      <c r="G759" s="9" t="s">
        <v>36</v>
      </c>
      <c r="H759" s="5">
        <v>29</v>
      </c>
      <c r="I759" s="6">
        <v>44454</v>
      </c>
      <c r="J759" s="7">
        <v>199783</v>
      </c>
      <c r="K759" s="9" t="s">
        <v>19</v>
      </c>
      <c r="L759" s="9" t="s">
        <v>27</v>
      </c>
      <c r="M759">
        <f t="shared" ca="1" si="22"/>
        <v>4</v>
      </c>
      <c r="N759">
        <f t="shared" ca="1" si="23"/>
        <v>3</v>
      </c>
    </row>
    <row r="760" spans="1:14" x14ac:dyDescent="0.3">
      <c r="A760" s="5" t="s">
        <v>933</v>
      </c>
      <c r="B760" s="9" t="s">
        <v>934</v>
      </c>
      <c r="C760" s="9" t="s">
        <v>67</v>
      </c>
      <c r="D760" s="9" t="s">
        <v>68</v>
      </c>
      <c r="E760" s="9" t="s">
        <v>41</v>
      </c>
      <c r="F760" s="9" t="s">
        <v>17</v>
      </c>
      <c r="G760" s="9" t="s">
        <v>73</v>
      </c>
      <c r="H760" s="5">
        <v>47</v>
      </c>
      <c r="I760" s="6">
        <v>36232</v>
      </c>
      <c r="J760" s="7">
        <v>239394</v>
      </c>
      <c r="K760" s="9" t="s">
        <v>19</v>
      </c>
      <c r="L760" s="9" t="s">
        <v>51</v>
      </c>
      <c r="M760">
        <f t="shared" ca="1" si="22"/>
        <v>26</v>
      </c>
      <c r="N760">
        <f t="shared" ca="1" si="23"/>
        <v>10</v>
      </c>
    </row>
    <row r="761" spans="1:14" x14ac:dyDescent="0.3">
      <c r="A761" s="5" t="s">
        <v>1699</v>
      </c>
      <c r="B761" s="9" t="s">
        <v>1700</v>
      </c>
      <c r="C761" s="9" t="s">
        <v>14</v>
      </c>
      <c r="D761" s="9" t="s">
        <v>68</v>
      </c>
      <c r="E761" s="9" t="s">
        <v>25</v>
      </c>
      <c r="F761" s="9" t="s">
        <v>35</v>
      </c>
      <c r="G761" s="9" t="s">
        <v>36</v>
      </c>
      <c r="H761" s="5">
        <v>52</v>
      </c>
      <c r="I761" s="6">
        <v>43255</v>
      </c>
      <c r="J761" s="7">
        <v>154884</v>
      </c>
      <c r="K761" s="9" t="s">
        <v>1310</v>
      </c>
      <c r="L761" s="9" t="s">
        <v>1316</v>
      </c>
      <c r="M761">
        <f t="shared" ca="1" si="22"/>
        <v>7</v>
      </c>
      <c r="N761">
        <f t="shared" ca="1" si="23"/>
        <v>4</v>
      </c>
    </row>
    <row r="762" spans="1:14" x14ac:dyDescent="0.3">
      <c r="A762" s="5" t="s">
        <v>1155</v>
      </c>
      <c r="B762" s="9" t="s">
        <v>1156</v>
      </c>
      <c r="C762" s="9" t="s">
        <v>14</v>
      </c>
      <c r="D762" s="9" t="s">
        <v>79</v>
      </c>
      <c r="E762" s="9" t="s">
        <v>25</v>
      </c>
      <c r="F762" s="9" t="s">
        <v>17</v>
      </c>
      <c r="G762" s="9" t="s">
        <v>18</v>
      </c>
      <c r="H762" s="5">
        <v>30</v>
      </c>
      <c r="I762" s="6">
        <v>42960</v>
      </c>
      <c r="J762" s="7">
        <v>154624</v>
      </c>
      <c r="K762" s="9" t="s">
        <v>19</v>
      </c>
      <c r="L762" s="9" t="s">
        <v>51</v>
      </c>
      <c r="M762">
        <f t="shared" ca="1" si="22"/>
        <v>8</v>
      </c>
      <c r="N762">
        <f t="shared" ca="1" si="23"/>
        <v>5.5</v>
      </c>
    </row>
    <row r="763" spans="1:14" x14ac:dyDescent="0.3">
      <c r="A763" s="5" t="s">
        <v>620</v>
      </c>
      <c r="B763" s="9" t="s">
        <v>621</v>
      </c>
      <c r="C763" s="9" t="s">
        <v>34</v>
      </c>
      <c r="D763" s="9" t="s">
        <v>24</v>
      </c>
      <c r="E763" s="9" t="s">
        <v>25</v>
      </c>
      <c r="F763" s="9" t="s">
        <v>17</v>
      </c>
      <c r="G763" s="9" t="s">
        <v>36</v>
      </c>
      <c r="H763" s="5">
        <v>63</v>
      </c>
      <c r="I763" s="6">
        <v>36525</v>
      </c>
      <c r="J763" s="7">
        <v>89523</v>
      </c>
      <c r="K763" s="9" t="s">
        <v>19</v>
      </c>
      <c r="L763" s="9" t="s">
        <v>37</v>
      </c>
      <c r="M763">
        <f t="shared" ca="1" si="22"/>
        <v>25</v>
      </c>
      <c r="N763">
        <f t="shared" ca="1" si="23"/>
        <v>10</v>
      </c>
    </row>
    <row r="764" spans="1:14" x14ac:dyDescent="0.3">
      <c r="A764" s="5" t="s">
        <v>1831</v>
      </c>
      <c r="B764" s="9" t="s">
        <v>1832</v>
      </c>
      <c r="C764" s="9" t="s">
        <v>23</v>
      </c>
      <c r="D764" s="9" t="s">
        <v>60</v>
      </c>
      <c r="E764" s="9" t="s">
        <v>41</v>
      </c>
      <c r="F764" s="9" t="s">
        <v>35</v>
      </c>
      <c r="G764" s="9" t="s">
        <v>73</v>
      </c>
      <c r="H764" s="5">
        <v>46</v>
      </c>
      <c r="I764" s="6">
        <v>41839</v>
      </c>
      <c r="J764" s="7">
        <v>173629</v>
      </c>
      <c r="K764" s="9" t="s">
        <v>1717</v>
      </c>
      <c r="L764" s="9" t="s">
        <v>1736</v>
      </c>
      <c r="M764">
        <f t="shared" ca="1" si="22"/>
        <v>11</v>
      </c>
      <c r="N764">
        <f t="shared" ca="1" si="23"/>
        <v>5.5</v>
      </c>
    </row>
    <row r="765" spans="1:14" x14ac:dyDescent="0.3">
      <c r="A765" s="5" t="s">
        <v>1880</v>
      </c>
      <c r="B765" s="9" t="s">
        <v>1881</v>
      </c>
      <c r="C765" s="9" t="s">
        <v>91</v>
      </c>
      <c r="D765" s="9" t="s">
        <v>79</v>
      </c>
      <c r="E765" s="9" t="s">
        <v>41</v>
      </c>
      <c r="F765" s="9" t="s">
        <v>17</v>
      </c>
      <c r="G765" s="9" t="s">
        <v>73</v>
      </c>
      <c r="H765" s="5">
        <v>34</v>
      </c>
      <c r="I765" s="6">
        <v>41066</v>
      </c>
      <c r="J765" s="7">
        <v>72126</v>
      </c>
      <c r="K765" s="9" t="s">
        <v>1717</v>
      </c>
      <c r="L765" s="9" t="s">
        <v>1718</v>
      </c>
      <c r="M765">
        <f t="shared" ca="1" si="22"/>
        <v>13</v>
      </c>
      <c r="N765">
        <f t="shared" ca="1" si="23"/>
        <v>8</v>
      </c>
    </row>
    <row r="766" spans="1:14" x14ac:dyDescent="0.3">
      <c r="A766" s="5" t="s">
        <v>492</v>
      </c>
      <c r="B766" s="9" t="s">
        <v>1529</v>
      </c>
      <c r="C766" s="9" t="s">
        <v>14</v>
      </c>
      <c r="D766" s="9" t="s">
        <v>68</v>
      </c>
      <c r="E766" s="9" t="s">
        <v>31</v>
      </c>
      <c r="F766" s="9" t="s">
        <v>35</v>
      </c>
      <c r="G766" s="9" t="s">
        <v>36</v>
      </c>
      <c r="H766" s="5">
        <v>63</v>
      </c>
      <c r="I766" s="6">
        <v>42064</v>
      </c>
      <c r="J766" s="7">
        <v>148321</v>
      </c>
      <c r="K766" s="9" t="s">
        <v>1310</v>
      </c>
      <c r="L766" s="9" t="s">
        <v>1323</v>
      </c>
      <c r="M766">
        <f t="shared" ca="1" si="22"/>
        <v>10</v>
      </c>
      <c r="N766">
        <f t="shared" ca="1" si="23"/>
        <v>5.5</v>
      </c>
    </row>
    <row r="767" spans="1:14" x14ac:dyDescent="0.3">
      <c r="A767" s="5" t="s">
        <v>492</v>
      </c>
      <c r="B767" s="9" t="s">
        <v>493</v>
      </c>
      <c r="C767" s="9" t="s">
        <v>30</v>
      </c>
      <c r="D767" s="9" t="s">
        <v>15</v>
      </c>
      <c r="E767" s="9" t="s">
        <v>31</v>
      </c>
      <c r="F767" s="9" t="s">
        <v>17</v>
      </c>
      <c r="G767" s="9" t="s">
        <v>36</v>
      </c>
      <c r="H767" s="5">
        <v>42</v>
      </c>
      <c r="I767" s="6">
        <v>38640</v>
      </c>
      <c r="J767" s="7">
        <v>67398</v>
      </c>
      <c r="K767" s="9" t="s">
        <v>19</v>
      </c>
      <c r="L767" s="9" t="s">
        <v>37</v>
      </c>
      <c r="M767">
        <f t="shared" ca="1" si="22"/>
        <v>20</v>
      </c>
      <c r="N767">
        <f t="shared" ca="1" si="23"/>
        <v>9.5</v>
      </c>
    </row>
    <row r="768" spans="1:14" x14ac:dyDescent="0.3">
      <c r="A768" s="5" t="s">
        <v>1353</v>
      </c>
      <c r="B768" s="9" t="s">
        <v>1354</v>
      </c>
      <c r="C768" s="9" t="s">
        <v>23</v>
      </c>
      <c r="D768" s="9" t="s">
        <v>56</v>
      </c>
      <c r="E768" s="9" t="s">
        <v>41</v>
      </c>
      <c r="F768" s="9" t="s">
        <v>17</v>
      </c>
      <c r="G768" s="9" t="s">
        <v>36</v>
      </c>
      <c r="H768" s="5">
        <v>27</v>
      </c>
      <c r="I768" s="6">
        <v>44250</v>
      </c>
      <c r="J768" s="7">
        <v>199041</v>
      </c>
      <c r="K768" s="9" t="s">
        <v>1310</v>
      </c>
      <c r="L768" s="9" t="s">
        <v>1323</v>
      </c>
      <c r="M768">
        <f t="shared" ca="1" si="22"/>
        <v>4</v>
      </c>
      <c r="N768">
        <f t="shared" ca="1" si="23"/>
        <v>3</v>
      </c>
    </row>
    <row r="769" spans="1:14" x14ac:dyDescent="0.3">
      <c r="A769" s="5" t="s">
        <v>145</v>
      </c>
      <c r="B769" s="9" t="s">
        <v>814</v>
      </c>
      <c r="C769" s="9" t="s">
        <v>101</v>
      </c>
      <c r="D769" s="9" t="s">
        <v>15</v>
      </c>
      <c r="E769" s="9" t="s">
        <v>41</v>
      </c>
      <c r="F769" s="9" t="s">
        <v>35</v>
      </c>
      <c r="G769" s="9" t="s">
        <v>26</v>
      </c>
      <c r="H769" s="5">
        <v>37</v>
      </c>
      <c r="I769" s="6">
        <v>39493</v>
      </c>
      <c r="J769" s="7">
        <v>71695</v>
      </c>
      <c r="K769" s="9" t="s">
        <v>19</v>
      </c>
      <c r="L769" s="9" t="s">
        <v>37</v>
      </c>
      <c r="M769">
        <f t="shared" ca="1" si="22"/>
        <v>17</v>
      </c>
      <c r="N769">
        <f t="shared" ca="1" si="23"/>
        <v>8</v>
      </c>
    </row>
    <row r="770" spans="1:14" x14ac:dyDescent="0.3">
      <c r="A770" s="5" t="s">
        <v>145</v>
      </c>
      <c r="B770" s="9" t="s">
        <v>146</v>
      </c>
      <c r="C770" s="9" t="s">
        <v>44</v>
      </c>
      <c r="D770" s="9" t="s">
        <v>24</v>
      </c>
      <c r="E770" s="9" t="s">
        <v>41</v>
      </c>
      <c r="F770" s="9" t="s">
        <v>17</v>
      </c>
      <c r="G770" s="9" t="s">
        <v>18</v>
      </c>
      <c r="H770" s="5">
        <v>36</v>
      </c>
      <c r="I770" s="6">
        <v>44435</v>
      </c>
      <c r="J770" s="7">
        <v>48906</v>
      </c>
      <c r="K770" s="9" t="s">
        <v>19</v>
      </c>
      <c r="L770" s="9" t="s">
        <v>45</v>
      </c>
      <c r="M770">
        <f t="shared" ca="1" si="22"/>
        <v>4</v>
      </c>
      <c r="N770">
        <f t="shared" ca="1" si="23"/>
        <v>3</v>
      </c>
    </row>
    <row r="771" spans="1:14" x14ac:dyDescent="0.3">
      <c r="A771" s="5" t="s">
        <v>112</v>
      </c>
      <c r="B771" s="9" t="s">
        <v>1070</v>
      </c>
      <c r="C771" s="9" t="s">
        <v>101</v>
      </c>
      <c r="D771" s="9" t="s">
        <v>15</v>
      </c>
      <c r="E771" s="9" t="s">
        <v>25</v>
      </c>
      <c r="F771" s="9" t="s">
        <v>17</v>
      </c>
      <c r="G771" s="9" t="s">
        <v>36</v>
      </c>
      <c r="H771" s="5">
        <v>56</v>
      </c>
      <c r="I771" s="6">
        <v>35238</v>
      </c>
      <c r="J771" s="7">
        <v>82806</v>
      </c>
      <c r="K771" s="9" t="s">
        <v>19</v>
      </c>
      <c r="L771" s="9" t="s">
        <v>20</v>
      </c>
      <c r="M771">
        <f t="shared" ref="M771:M834" ca="1" si="24">DATEDIF(I771,TODAY(),"Y")</f>
        <v>29</v>
      </c>
      <c r="N771">
        <f t="shared" ref="N771:N834" ca="1" si="25">_xlfn.XLOOKUP(M771,$Q$3:$Q$11,$R$3:$R$11,0,-1)</f>
        <v>10</v>
      </c>
    </row>
    <row r="772" spans="1:14" x14ac:dyDescent="0.3">
      <c r="A772" s="5" t="s">
        <v>112</v>
      </c>
      <c r="B772" s="9" t="s">
        <v>113</v>
      </c>
      <c r="C772" s="9" t="s">
        <v>23</v>
      </c>
      <c r="D772" s="9" t="s">
        <v>15</v>
      </c>
      <c r="E772" s="9" t="s">
        <v>16</v>
      </c>
      <c r="F772" s="9" t="s">
        <v>17</v>
      </c>
      <c r="G772" s="9" t="s">
        <v>18</v>
      </c>
      <c r="H772" s="5">
        <v>37</v>
      </c>
      <c r="I772" s="6">
        <v>40076</v>
      </c>
      <c r="J772" s="7">
        <v>167199</v>
      </c>
      <c r="K772" s="9" t="s">
        <v>19</v>
      </c>
      <c r="L772" s="9" t="s">
        <v>20</v>
      </c>
      <c r="M772">
        <f t="shared" ca="1" si="24"/>
        <v>16</v>
      </c>
      <c r="N772">
        <f t="shared" ca="1" si="25"/>
        <v>8</v>
      </c>
    </row>
    <row r="773" spans="1:14" x14ac:dyDescent="0.3">
      <c r="A773" s="5" t="s">
        <v>1000</v>
      </c>
      <c r="B773" s="9" t="s">
        <v>1001</v>
      </c>
      <c r="C773" s="9" t="s">
        <v>23</v>
      </c>
      <c r="D773" s="9" t="s">
        <v>60</v>
      </c>
      <c r="E773" s="9" t="s">
        <v>25</v>
      </c>
      <c r="F773" s="9" t="s">
        <v>35</v>
      </c>
      <c r="G773" s="9" t="s">
        <v>26</v>
      </c>
      <c r="H773" s="5">
        <v>41</v>
      </c>
      <c r="I773" s="6">
        <v>39156</v>
      </c>
      <c r="J773" s="7">
        <v>155926</v>
      </c>
      <c r="K773" s="9" t="s">
        <v>19</v>
      </c>
      <c r="L773" s="9" t="s">
        <v>76</v>
      </c>
      <c r="M773">
        <f t="shared" ca="1" si="24"/>
        <v>18</v>
      </c>
      <c r="N773">
        <f t="shared" ca="1" si="25"/>
        <v>9.5</v>
      </c>
    </row>
    <row r="774" spans="1:14" x14ac:dyDescent="0.3">
      <c r="A774" s="5" t="s">
        <v>52</v>
      </c>
      <c r="B774" s="9" t="s">
        <v>53</v>
      </c>
      <c r="C774" s="9" t="s">
        <v>34</v>
      </c>
      <c r="D774" s="9" t="s">
        <v>24</v>
      </c>
      <c r="E774" s="9" t="s">
        <v>25</v>
      </c>
      <c r="F774" s="9" t="s">
        <v>17</v>
      </c>
      <c r="G774" s="9" t="s">
        <v>26</v>
      </c>
      <c r="H774" s="5">
        <v>34</v>
      </c>
      <c r="I774" s="6">
        <v>43264</v>
      </c>
      <c r="J774" s="7">
        <v>77203</v>
      </c>
      <c r="K774" s="9" t="s">
        <v>19</v>
      </c>
      <c r="L774" s="9" t="s">
        <v>27</v>
      </c>
      <c r="M774">
        <f t="shared" ca="1" si="24"/>
        <v>7</v>
      </c>
      <c r="N774">
        <f t="shared" ca="1" si="25"/>
        <v>4</v>
      </c>
    </row>
    <row r="775" spans="1:14" x14ac:dyDescent="0.3">
      <c r="A775" s="5" t="s">
        <v>1368</v>
      </c>
      <c r="B775" s="9" t="s">
        <v>1525</v>
      </c>
      <c r="C775" s="9" t="s">
        <v>116</v>
      </c>
      <c r="D775" s="9" t="s">
        <v>60</v>
      </c>
      <c r="E775" s="9" t="s">
        <v>31</v>
      </c>
      <c r="F775" s="9" t="s">
        <v>17</v>
      </c>
      <c r="G775" s="9" t="s">
        <v>36</v>
      </c>
      <c r="H775" s="5">
        <v>50</v>
      </c>
      <c r="I775" s="6">
        <v>37446</v>
      </c>
      <c r="J775" s="7">
        <v>92209</v>
      </c>
      <c r="K775" s="9" t="s">
        <v>1310</v>
      </c>
      <c r="L775" s="9" t="s">
        <v>1316</v>
      </c>
      <c r="M775">
        <f t="shared" ca="1" si="24"/>
        <v>23</v>
      </c>
      <c r="N775">
        <f t="shared" ca="1" si="25"/>
        <v>9.5</v>
      </c>
    </row>
    <row r="776" spans="1:14" x14ac:dyDescent="0.3">
      <c r="A776" s="5" t="s">
        <v>1368</v>
      </c>
      <c r="B776" s="9" t="s">
        <v>1369</v>
      </c>
      <c r="C776" s="9" t="s">
        <v>44</v>
      </c>
      <c r="D776" s="9" t="s">
        <v>79</v>
      </c>
      <c r="E776" s="9" t="s">
        <v>16</v>
      </c>
      <c r="F776" s="9" t="s">
        <v>17</v>
      </c>
      <c r="G776" s="9" t="s">
        <v>36</v>
      </c>
      <c r="H776" s="5">
        <v>30</v>
      </c>
      <c r="I776" s="6">
        <v>44241</v>
      </c>
      <c r="J776" s="7">
        <v>48340</v>
      </c>
      <c r="K776" s="9" t="s">
        <v>1310</v>
      </c>
      <c r="L776" s="9" t="s">
        <v>1323</v>
      </c>
      <c r="M776">
        <f t="shared" ca="1" si="24"/>
        <v>4</v>
      </c>
      <c r="N776">
        <f t="shared" ca="1" si="25"/>
        <v>3</v>
      </c>
    </row>
    <row r="777" spans="1:14" x14ac:dyDescent="0.3">
      <c r="A777" s="5" t="s">
        <v>1475</v>
      </c>
      <c r="B777" s="9" t="s">
        <v>1476</v>
      </c>
      <c r="C777" s="9" t="s">
        <v>14</v>
      </c>
      <c r="D777" s="9" t="s">
        <v>15</v>
      </c>
      <c r="E777" s="9" t="s">
        <v>16</v>
      </c>
      <c r="F777" s="9" t="s">
        <v>17</v>
      </c>
      <c r="G777" s="9" t="s">
        <v>36</v>
      </c>
      <c r="H777" s="5">
        <v>60</v>
      </c>
      <c r="I777" s="6">
        <v>40383</v>
      </c>
      <c r="J777" s="7">
        <v>126911</v>
      </c>
      <c r="K777" s="9" t="s">
        <v>1310</v>
      </c>
      <c r="L777" s="9" t="s">
        <v>1316</v>
      </c>
      <c r="M777">
        <f t="shared" ca="1" si="24"/>
        <v>15</v>
      </c>
      <c r="N777">
        <f t="shared" ca="1" si="25"/>
        <v>8</v>
      </c>
    </row>
    <row r="778" spans="1:14" x14ac:dyDescent="0.3">
      <c r="A778" s="5" t="s">
        <v>1697</v>
      </c>
      <c r="B778" s="9" t="s">
        <v>1698</v>
      </c>
      <c r="C778" s="9" t="s">
        <v>23</v>
      </c>
      <c r="D778" s="9" t="s">
        <v>56</v>
      </c>
      <c r="E778" s="9" t="s">
        <v>25</v>
      </c>
      <c r="F778" s="9" t="s">
        <v>35</v>
      </c>
      <c r="G778" s="9" t="s">
        <v>36</v>
      </c>
      <c r="H778" s="5">
        <v>47</v>
      </c>
      <c r="I778" s="6">
        <v>43772</v>
      </c>
      <c r="J778" s="7">
        <v>195385</v>
      </c>
      <c r="K778" s="9" t="s">
        <v>1310</v>
      </c>
      <c r="L778" s="9" t="s">
        <v>1330</v>
      </c>
      <c r="M778">
        <f t="shared" ca="1" si="24"/>
        <v>6</v>
      </c>
      <c r="N778">
        <f t="shared" ca="1" si="25"/>
        <v>4</v>
      </c>
    </row>
    <row r="779" spans="1:14" x14ac:dyDescent="0.3">
      <c r="A779" s="5" t="s">
        <v>1187</v>
      </c>
      <c r="B779" s="9" t="s">
        <v>1188</v>
      </c>
      <c r="C779" s="9" t="s">
        <v>181</v>
      </c>
      <c r="D779" s="9" t="s">
        <v>79</v>
      </c>
      <c r="E779" s="9" t="s">
        <v>16</v>
      </c>
      <c r="F779" s="9" t="s">
        <v>17</v>
      </c>
      <c r="G779" s="9" t="s">
        <v>18</v>
      </c>
      <c r="H779" s="5">
        <v>40</v>
      </c>
      <c r="I779" s="6">
        <v>39960</v>
      </c>
      <c r="J779" s="7">
        <v>62411</v>
      </c>
      <c r="K779" s="9" t="s">
        <v>19</v>
      </c>
      <c r="L779" s="9" t="s">
        <v>45</v>
      </c>
      <c r="M779">
        <f t="shared" ca="1" si="24"/>
        <v>16</v>
      </c>
      <c r="N779">
        <f t="shared" ca="1" si="25"/>
        <v>8</v>
      </c>
    </row>
    <row r="780" spans="1:14" x14ac:dyDescent="0.3">
      <c r="A780" s="5" t="s">
        <v>345</v>
      </c>
      <c r="B780" s="9" t="s">
        <v>346</v>
      </c>
      <c r="C780" s="9" t="s">
        <v>44</v>
      </c>
      <c r="D780" s="9" t="s">
        <v>24</v>
      </c>
      <c r="E780" s="9" t="s">
        <v>31</v>
      </c>
      <c r="F780" s="9" t="s">
        <v>17</v>
      </c>
      <c r="G780" s="9" t="s">
        <v>26</v>
      </c>
      <c r="H780" s="5">
        <v>51</v>
      </c>
      <c r="I780" s="6">
        <v>42753</v>
      </c>
      <c r="J780" s="7">
        <v>53799</v>
      </c>
      <c r="K780" s="9" t="s">
        <v>19</v>
      </c>
      <c r="L780" s="9" t="s">
        <v>76</v>
      </c>
      <c r="M780">
        <f t="shared" ca="1" si="24"/>
        <v>8</v>
      </c>
      <c r="N780">
        <f t="shared" ca="1" si="25"/>
        <v>5.5</v>
      </c>
    </row>
    <row r="781" spans="1:14" x14ac:dyDescent="0.3">
      <c r="A781" s="5" t="s">
        <v>1075</v>
      </c>
      <c r="B781" s="9" t="s">
        <v>1076</v>
      </c>
      <c r="C781" s="9" t="s">
        <v>14</v>
      </c>
      <c r="D781" s="9" t="s">
        <v>68</v>
      </c>
      <c r="E781" s="9" t="s">
        <v>31</v>
      </c>
      <c r="F781" s="9" t="s">
        <v>35</v>
      </c>
      <c r="G781" s="9" t="s">
        <v>36</v>
      </c>
      <c r="H781" s="5">
        <v>32</v>
      </c>
      <c r="I781" s="6">
        <v>42764</v>
      </c>
      <c r="J781" s="7">
        <v>143970</v>
      </c>
      <c r="K781" s="9" t="s">
        <v>19</v>
      </c>
      <c r="L781" s="9" t="s">
        <v>20</v>
      </c>
      <c r="M781">
        <f t="shared" ca="1" si="24"/>
        <v>8</v>
      </c>
      <c r="N781">
        <f t="shared" ca="1" si="25"/>
        <v>5.5</v>
      </c>
    </row>
    <row r="782" spans="1:14" x14ac:dyDescent="0.3">
      <c r="A782" s="5" t="s">
        <v>866</v>
      </c>
      <c r="B782" s="9" t="s">
        <v>867</v>
      </c>
      <c r="C782" s="9" t="s">
        <v>157</v>
      </c>
      <c r="D782" s="9" t="s">
        <v>15</v>
      </c>
      <c r="E782" s="9" t="s">
        <v>31</v>
      </c>
      <c r="F782" s="9" t="s">
        <v>17</v>
      </c>
      <c r="G782" s="9" t="s">
        <v>26</v>
      </c>
      <c r="H782" s="5">
        <v>30</v>
      </c>
      <c r="I782" s="6">
        <v>43864</v>
      </c>
      <c r="J782" s="7">
        <v>94652</v>
      </c>
      <c r="K782" s="9" t="s">
        <v>19</v>
      </c>
      <c r="L782" s="9" t="s">
        <v>20</v>
      </c>
      <c r="M782">
        <f t="shared" ca="1" si="24"/>
        <v>5</v>
      </c>
      <c r="N782">
        <f t="shared" ca="1" si="25"/>
        <v>3</v>
      </c>
    </row>
    <row r="783" spans="1:14" x14ac:dyDescent="0.3">
      <c r="A783" s="5" t="s">
        <v>203</v>
      </c>
      <c r="B783" s="9" t="s">
        <v>204</v>
      </c>
      <c r="C783" s="9" t="s">
        <v>196</v>
      </c>
      <c r="D783" s="9" t="s">
        <v>60</v>
      </c>
      <c r="E783" s="9" t="s">
        <v>41</v>
      </c>
      <c r="F783" s="9" t="s">
        <v>17</v>
      </c>
      <c r="G783" s="9" t="s">
        <v>26</v>
      </c>
      <c r="H783" s="5">
        <v>51</v>
      </c>
      <c r="I783" s="6">
        <v>35055</v>
      </c>
      <c r="J783" s="7">
        <v>96475</v>
      </c>
      <c r="K783" s="9" t="s">
        <v>19</v>
      </c>
      <c r="L783" s="9" t="s">
        <v>51</v>
      </c>
      <c r="M783">
        <f t="shared" ca="1" si="24"/>
        <v>29</v>
      </c>
      <c r="N783">
        <f t="shared" ca="1" si="25"/>
        <v>10</v>
      </c>
    </row>
    <row r="784" spans="1:14" x14ac:dyDescent="0.3">
      <c r="A784" s="5" t="s">
        <v>610</v>
      </c>
      <c r="B784" s="9" t="s">
        <v>611</v>
      </c>
      <c r="C784" s="9" t="s">
        <v>44</v>
      </c>
      <c r="D784" s="9" t="s">
        <v>50</v>
      </c>
      <c r="E784" s="9" t="s">
        <v>25</v>
      </c>
      <c r="F784" s="9" t="s">
        <v>17</v>
      </c>
      <c r="G784" s="9" t="s">
        <v>26</v>
      </c>
      <c r="H784" s="5">
        <v>56</v>
      </c>
      <c r="I784" s="6">
        <v>43824</v>
      </c>
      <c r="J784" s="7">
        <v>54829</v>
      </c>
      <c r="K784" s="9" t="s">
        <v>19</v>
      </c>
      <c r="L784" s="9" t="s">
        <v>37</v>
      </c>
      <c r="M784">
        <f t="shared" ca="1" si="24"/>
        <v>5</v>
      </c>
      <c r="N784">
        <f t="shared" ca="1" si="25"/>
        <v>3</v>
      </c>
    </row>
    <row r="785" spans="1:14" x14ac:dyDescent="0.3">
      <c r="A785" s="5" t="s">
        <v>681</v>
      </c>
      <c r="B785" s="9" t="s">
        <v>682</v>
      </c>
      <c r="C785" s="9" t="s">
        <v>211</v>
      </c>
      <c r="D785" s="9" t="s">
        <v>15</v>
      </c>
      <c r="E785" s="9" t="s">
        <v>41</v>
      </c>
      <c r="F785" s="9" t="s">
        <v>35</v>
      </c>
      <c r="G785" s="9" t="s">
        <v>18</v>
      </c>
      <c r="H785" s="5">
        <v>28</v>
      </c>
      <c r="I785" s="6">
        <v>43633</v>
      </c>
      <c r="J785" s="7">
        <v>65341</v>
      </c>
      <c r="K785" s="9" t="s">
        <v>19</v>
      </c>
      <c r="L785" s="9" t="s">
        <v>45</v>
      </c>
      <c r="M785">
        <f t="shared" ca="1" si="24"/>
        <v>6</v>
      </c>
      <c r="N785">
        <f t="shared" ca="1" si="25"/>
        <v>4</v>
      </c>
    </row>
    <row r="786" spans="1:14" x14ac:dyDescent="0.3">
      <c r="A786" s="5" t="s">
        <v>1868</v>
      </c>
      <c r="B786" s="9" t="s">
        <v>1869</v>
      </c>
      <c r="C786" s="9" t="s">
        <v>40</v>
      </c>
      <c r="D786" s="9" t="s">
        <v>56</v>
      </c>
      <c r="E786" s="9" t="s">
        <v>31</v>
      </c>
      <c r="F786" s="9" t="s">
        <v>35</v>
      </c>
      <c r="G786" s="9" t="s">
        <v>73</v>
      </c>
      <c r="H786" s="5">
        <v>34</v>
      </c>
      <c r="I786" s="6">
        <v>41499</v>
      </c>
      <c r="J786" s="7">
        <v>113909</v>
      </c>
      <c r="K786" s="9" t="s">
        <v>1717</v>
      </c>
      <c r="L786" s="9" t="s">
        <v>1721</v>
      </c>
      <c r="M786">
        <f t="shared" ca="1" si="24"/>
        <v>12</v>
      </c>
      <c r="N786">
        <f t="shared" ca="1" si="25"/>
        <v>8</v>
      </c>
    </row>
    <row r="787" spans="1:14" x14ac:dyDescent="0.3">
      <c r="A787" s="5" t="s">
        <v>187</v>
      </c>
      <c r="B787" s="9" t="s">
        <v>839</v>
      </c>
      <c r="C787" s="9" t="s">
        <v>451</v>
      </c>
      <c r="D787" s="9" t="s">
        <v>15</v>
      </c>
      <c r="E787" s="9" t="s">
        <v>31</v>
      </c>
      <c r="F787" s="9" t="s">
        <v>35</v>
      </c>
      <c r="G787" s="9" t="s">
        <v>36</v>
      </c>
      <c r="H787" s="5">
        <v>43</v>
      </c>
      <c r="I787" s="6">
        <v>42753</v>
      </c>
      <c r="J787" s="7">
        <v>86417</v>
      </c>
      <c r="K787" s="9" t="s">
        <v>19</v>
      </c>
      <c r="L787" s="9" t="s">
        <v>27</v>
      </c>
      <c r="M787">
        <f t="shared" ca="1" si="24"/>
        <v>8</v>
      </c>
      <c r="N787">
        <f t="shared" ca="1" si="25"/>
        <v>5.5</v>
      </c>
    </row>
    <row r="788" spans="1:14" x14ac:dyDescent="0.3">
      <c r="A788" s="5" t="s">
        <v>187</v>
      </c>
      <c r="B788" s="9" t="s">
        <v>188</v>
      </c>
      <c r="C788" s="9" t="s">
        <v>67</v>
      </c>
      <c r="D788" s="9" t="s">
        <v>79</v>
      </c>
      <c r="E788" s="9" t="s">
        <v>31</v>
      </c>
      <c r="F788" s="9" t="s">
        <v>17</v>
      </c>
      <c r="G788" s="9" t="s">
        <v>26</v>
      </c>
      <c r="H788" s="5">
        <v>31</v>
      </c>
      <c r="I788" s="6">
        <v>44063</v>
      </c>
      <c r="J788" s="7">
        <v>219693</v>
      </c>
      <c r="K788" s="9" t="s">
        <v>19</v>
      </c>
      <c r="L788" s="9" t="s">
        <v>51</v>
      </c>
      <c r="M788">
        <f t="shared" ca="1" si="24"/>
        <v>5</v>
      </c>
      <c r="N788">
        <f t="shared" ca="1" si="25"/>
        <v>3</v>
      </c>
    </row>
    <row r="789" spans="1:14" x14ac:dyDescent="0.3">
      <c r="A789" s="5" t="s">
        <v>1497</v>
      </c>
      <c r="B789" s="9" t="s">
        <v>1498</v>
      </c>
      <c r="C789" s="9" t="s">
        <v>67</v>
      </c>
      <c r="D789" s="9" t="s">
        <v>60</v>
      </c>
      <c r="E789" s="9" t="s">
        <v>31</v>
      </c>
      <c r="F789" s="9" t="s">
        <v>17</v>
      </c>
      <c r="G789" s="9" t="s">
        <v>36</v>
      </c>
      <c r="H789" s="5">
        <v>55</v>
      </c>
      <c r="I789" s="6">
        <v>43345</v>
      </c>
      <c r="J789" s="7">
        <v>221465</v>
      </c>
      <c r="K789" s="9" t="s">
        <v>1310</v>
      </c>
      <c r="L789" s="9" t="s">
        <v>1330</v>
      </c>
      <c r="M789">
        <f t="shared" ca="1" si="24"/>
        <v>7</v>
      </c>
      <c r="N789">
        <f t="shared" ca="1" si="25"/>
        <v>4</v>
      </c>
    </row>
    <row r="790" spans="1:14" x14ac:dyDescent="0.3">
      <c r="A790" s="5" t="s">
        <v>1222</v>
      </c>
      <c r="B790" s="9" t="s">
        <v>1223</v>
      </c>
      <c r="C790" s="9" t="s">
        <v>40</v>
      </c>
      <c r="D790" s="9" t="s">
        <v>79</v>
      </c>
      <c r="E790" s="9" t="s">
        <v>16</v>
      </c>
      <c r="F790" s="9" t="s">
        <v>17</v>
      </c>
      <c r="G790" s="9" t="s">
        <v>36</v>
      </c>
      <c r="H790" s="5">
        <v>50</v>
      </c>
      <c r="I790" s="6">
        <v>36653</v>
      </c>
      <c r="J790" s="7">
        <v>106428</v>
      </c>
      <c r="K790" s="9" t="s">
        <v>19</v>
      </c>
      <c r="L790" s="9" t="s">
        <v>27</v>
      </c>
      <c r="M790">
        <f t="shared" ca="1" si="24"/>
        <v>25</v>
      </c>
      <c r="N790">
        <f t="shared" ca="1" si="25"/>
        <v>10</v>
      </c>
    </row>
    <row r="791" spans="1:14" x14ac:dyDescent="0.3">
      <c r="A791" s="5" t="s">
        <v>1523</v>
      </c>
      <c r="B791" s="9" t="s">
        <v>1524</v>
      </c>
      <c r="C791" s="9" t="s">
        <v>23</v>
      </c>
      <c r="D791" s="9" t="s">
        <v>68</v>
      </c>
      <c r="E791" s="9" t="s">
        <v>41</v>
      </c>
      <c r="F791" s="9" t="s">
        <v>35</v>
      </c>
      <c r="G791" s="9" t="s">
        <v>36</v>
      </c>
      <c r="H791" s="5">
        <v>45</v>
      </c>
      <c r="I791" s="6">
        <v>38332</v>
      </c>
      <c r="J791" s="7">
        <v>168846</v>
      </c>
      <c r="K791" s="9" t="s">
        <v>1310</v>
      </c>
      <c r="L791" s="9" t="s">
        <v>1311</v>
      </c>
      <c r="M791">
        <f t="shared" ca="1" si="24"/>
        <v>20</v>
      </c>
      <c r="N791">
        <f t="shared" ca="1" si="25"/>
        <v>9.5</v>
      </c>
    </row>
    <row r="792" spans="1:14" x14ac:dyDescent="0.3">
      <c r="A792" s="5" t="s">
        <v>1276</v>
      </c>
      <c r="B792" s="9" t="s">
        <v>1277</v>
      </c>
      <c r="C792" s="9" t="s">
        <v>324</v>
      </c>
      <c r="D792" s="9" t="s">
        <v>15</v>
      </c>
      <c r="E792" s="9" t="s">
        <v>41</v>
      </c>
      <c r="F792" s="9" t="s">
        <v>17</v>
      </c>
      <c r="G792" s="9" t="s">
        <v>26</v>
      </c>
      <c r="H792" s="5">
        <v>40</v>
      </c>
      <c r="I792" s="6">
        <v>40944</v>
      </c>
      <c r="J792" s="7">
        <v>61523</v>
      </c>
      <c r="K792" s="9" t="s">
        <v>19</v>
      </c>
      <c r="L792" s="9" t="s">
        <v>76</v>
      </c>
      <c r="M792">
        <f t="shared" ca="1" si="24"/>
        <v>13</v>
      </c>
      <c r="N792">
        <f t="shared" ca="1" si="25"/>
        <v>8</v>
      </c>
    </row>
    <row r="793" spans="1:14" x14ac:dyDescent="0.3">
      <c r="A793" s="5" t="s">
        <v>1774</v>
      </c>
      <c r="B793" s="9" t="s">
        <v>1775</v>
      </c>
      <c r="C793" s="9" t="s">
        <v>34</v>
      </c>
      <c r="D793" s="9" t="s">
        <v>24</v>
      </c>
      <c r="E793" s="9" t="s">
        <v>41</v>
      </c>
      <c r="F793" s="9" t="s">
        <v>35</v>
      </c>
      <c r="G793" s="9" t="s">
        <v>73</v>
      </c>
      <c r="H793" s="5">
        <v>46</v>
      </c>
      <c r="I793" s="6">
        <v>41294</v>
      </c>
      <c r="J793" s="7">
        <v>86061</v>
      </c>
      <c r="K793" s="9" t="s">
        <v>1717</v>
      </c>
      <c r="L793" s="9" t="s">
        <v>1721</v>
      </c>
      <c r="M793">
        <f t="shared" ca="1" si="24"/>
        <v>12</v>
      </c>
      <c r="N793">
        <f t="shared" ca="1" si="25"/>
        <v>8</v>
      </c>
    </row>
    <row r="794" spans="1:14" x14ac:dyDescent="0.3">
      <c r="A794" s="5" t="s">
        <v>147</v>
      </c>
      <c r="B794" s="9" t="s">
        <v>148</v>
      </c>
      <c r="C794" s="9" t="s">
        <v>34</v>
      </c>
      <c r="D794" s="9" t="s">
        <v>79</v>
      </c>
      <c r="E794" s="9" t="s">
        <v>41</v>
      </c>
      <c r="F794" s="9" t="s">
        <v>17</v>
      </c>
      <c r="G794" s="9" t="s">
        <v>26</v>
      </c>
      <c r="H794" s="5">
        <v>38</v>
      </c>
      <c r="I794" s="6">
        <v>39474</v>
      </c>
      <c r="J794" s="7">
        <v>80024</v>
      </c>
      <c r="K794" s="9" t="s">
        <v>19</v>
      </c>
      <c r="L794" s="9" t="s">
        <v>76</v>
      </c>
      <c r="M794">
        <f t="shared" ca="1" si="24"/>
        <v>17</v>
      </c>
      <c r="N794">
        <f t="shared" ca="1" si="25"/>
        <v>8</v>
      </c>
    </row>
    <row r="795" spans="1:14" x14ac:dyDescent="0.3">
      <c r="A795" s="5" t="s">
        <v>262</v>
      </c>
      <c r="B795" s="9" t="s">
        <v>263</v>
      </c>
      <c r="C795" s="9" t="s">
        <v>67</v>
      </c>
      <c r="D795" s="9" t="s">
        <v>24</v>
      </c>
      <c r="E795" s="9" t="s">
        <v>25</v>
      </c>
      <c r="F795" s="9" t="s">
        <v>17</v>
      </c>
      <c r="G795" s="9" t="s">
        <v>26</v>
      </c>
      <c r="H795" s="5">
        <v>32</v>
      </c>
      <c r="I795" s="6">
        <v>43102</v>
      </c>
      <c r="J795" s="7">
        <v>190253</v>
      </c>
      <c r="K795" s="9" t="s">
        <v>19</v>
      </c>
      <c r="L795" s="9" t="s">
        <v>51</v>
      </c>
      <c r="M795">
        <f t="shared" ca="1" si="24"/>
        <v>7</v>
      </c>
      <c r="N795">
        <f t="shared" ca="1" si="25"/>
        <v>4</v>
      </c>
    </row>
    <row r="796" spans="1:14" x14ac:dyDescent="0.3">
      <c r="A796" s="5" t="s">
        <v>486</v>
      </c>
      <c r="B796" s="9" t="s">
        <v>487</v>
      </c>
      <c r="C796" s="9" t="s">
        <v>253</v>
      </c>
      <c r="D796" s="9" t="s">
        <v>15</v>
      </c>
      <c r="E796" s="9" t="s">
        <v>31</v>
      </c>
      <c r="F796" s="9" t="s">
        <v>35</v>
      </c>
      <c r="G796" s="9" t="s">
        <v>26</v>
      </c>
      <c r="H796" s="5">
        <v>54</v>
      </c>
      <c r="I796" s="6">
        <v>34631</v>
      </c>
      <c r="J796" s="7">
        <v>87216</v>
      </c>
      <c r="K796" s="9" t="s">
        <v>19</v>
      </c>
      <c r="L796" s="9" t="s">
        <v>45</v>
      </c>
      <c r="M796">
        <f t="shared" ca="1" si="24"/>
        <v>31</v>
      </c>
      <c r="N796">
        <f t="shared" ca="1" si="25"/>
        <v>15</v>
      </c>
    </row>
    <row r="797" spans="1:14" x14ac:dyDescent="0.3">
      <c r="A797" s="5" t="s">
        <v>1090</v>
      </c>
      <c r="B797" s="9" t="s">
        <v>1091</v>
      </c>
      <c r="C797" s="9" t="s">
        <v>40</v>
      </c>
      <c r="D797" s="9" t="s">
        <v>56</v>
      </c>
      <c r="E797" s="9" t="s">
        <v>25</v>
      </c>
      <c r="F797" s="9" t="s">
        <v>17</v>
      </c>
      <c r="G797" s="9" t="s">
        <v>36</v>
      </c>
      <c r="H797" s="5">
        <v>32</v>
      </c>
      <c r="I797" s="6">
        <v>42738</v>
      </c>
      <c r="J797" s="7">
        <v>101870</v>
      </c>
      <c r="K797" s="9" t="s">
        <v>19</v>
      </c>
      <c r="L797" s="9" t="s">
        <v>37</v>
      </c>
      <c r="M797">
        <f t="shared" ca="1" si="24"/>
        <v>8</v>
      </c>
      <c r="N797">
        <f t="shared" ca="1" si="25"/>
        <v>5.5</v>
      </c>
    </row>
    <row r="798" spans="1:14" x14ac:dyDescent="0.3">
      <c r="A798" s="5" t="s">
        <v>719</v>
      </c>
      <c r="B798" s="9" t="s">
        <v>720</v>
      </c>
      <c r="C798" s="9" t="s">
        <v>34</v>
      </c>
      <c r="D798" s="9" t="s">
        <v>68</v>
      </c>
      <c r="E798" s="9" t="s">
        <v>41</v>
      </c>
      <c r="F798" s="9" t="s">
        <v>35</v>
      </c>
      <c r="G798" s="9" t="s">
        <v>26</v>
      </c>
      <c r="H798" s="5">
        <v>33</v>
      </c>
      <c r="I798" s="6">
        <v>42325</v>
      </c>
      <c r="J798" s="7">
        <v>91632</v>
      </c>
      <c r="K798" s="9" t="s">
        <v>19</v>
      </c>
      <c r="L798" s="9" t="s">
        <v>37</v>
      </c>
      <c r="M798">
        <f t="shared" ca="1" si="24"/>
        <v>10</v>
      </c>
      <c r="N798">
        <f t="shared" ca="1" si="25"/>
        <v>5.5</v>
      </c>
    </row>
    <row r="799" spans="1:14" x14ac:dyDescent="0.3">
      <c r="A799" s="5" t="s">
        <v>1574</v>
      </c>
      <c r="B799" s="9" t="s">
        <v>1575</v>
      </c>
      <c r="C799" s="9" t="s">
        <v>142</v>
      </c>
      <c r="D799" s="9" t="s">
        <v>60</v>
      </c>
      <c r="E799" s="9" t="s">
        <v>25</v>
      </c>
      <c r="F799" s="9" t="s">
        <v>35</v>
      </c>
      <c r="G799" s="9" t="s">
        <v>36</v>
      </c>
      <c r="H799" s="5">
        <v>46</v>
      </c>
      <c r="I799" s="6">
        <v>40836</v>
      </c>
      <c r="J799" s="7">
        <v>114250</v>
      </c>
      <c r="K799" s="9" t="s">
        <v>1310</v>
      </c>
      <c r="L799" s="9" t="s">
        <v>1330</v>
      </c>
      <c r="M799">
        <f t="shared" ca="1" si="24"/>
        <v>14</v>
      </c>
      <c r="N799">
        <f t="shared" ca="1" si="25"/>
        <v>8</v>
      </c>
    </row>
    <row r="800" spans="1:14" x14ac:dyDescent="0.3">
      <c r="A800" s="5" t="s">
        <v>1038</v>
      </c>
      <c r="B800" s="9" t="s">
        <v>1039</v>
      </c>
      <c r="C800" s="9" t="s">
        <v>88</v>
      </c>
      <c r="D800" s="9" t="s">
        <v>15</v>
      </c>
      <c r="E800" s="9" t="s">
        <v>25</v>
      </c>
      <c r="F800" s="9" t="s">
        <v>35</v>
      </c>
      <c r="G800" s="9" t="s">
        <v>36</v>
      </c>
      <c r="H800" s="5">
        <v>61</v>
      </c>
      <c r="I800" s="6">
        <v>36793</v>
      </c>
      <c r="J800" s="7">
        <v>40063</v>
      </c>
      <c r="K800" s="9" t="s">
        <v>19</v>
      </c>
      <c r="L800" s="9" t="s">
        <v>45</v>
      </c>
      <c r="M800">
        <f t="shared" ca="1" si="24"/>
        <v>25</v>
      </c>
      <c r="N800">
        <f t="shared" ca="1" si="25"/>
        <v>10</v>
      </c>
    </row>
    <row r="801" spans="1:14" x14ac:dyDescent="0.3">
      <c r="A801" s="5" t="s">
        <v>373</v>
      </c>
      <c r="B801" s="9" t="s">
        <v>374</v>
      </c>
      <c r="C801" s="9" t="s">
        <v>67</v>
      </c>
      <c r="D801" s="9" t="s">
        <v>15</v>
      </c>
      <c r="E801" s="9" t="s">
        <v>41</v>
      </c>
      <c r="F801" s="9" t="s">
        <v>17</v>
      </c>
      <c r="G801" s="9" t="s">
        <v>36</v>
      </c>
      <c r="H801" s="5">
        <v>53</v>
      </c>
      <c r="I801" s="6">
        <v>39568</v>
      </c>
      <c r="J801" s="7">
        <v>182202</v>
      </c>
      <c r="K801" s="9" t="s">
        <v>19</v>
      </c>
      <c r="L801" s="9" t="s">
        <v>51</v>
      </c>
      <c r="M801">
        <f t="shared" ca="1" si="24"/>
        <v>17</v>
      </c>
      <c r="N801">
        <f t="shared" ca="1" si="25"/>
        <v>8</v>
      </c>
    </row>
    <row r="802" spans="1:14" x14ac:dyDescent="0.3">
      <c r="A802" s="5" t="s">
        <v>427</v>
      </c>
      <c r="B802" s="9" t="s">
        <v>428</v>
      </c>
      <c r="C802" s="9" t="s">
        <v>101</v>
      </c>
      <c r="D802" s="9" t="s">
        <v>15</v>
      </c>
      <c r="E802" s="9" t="s">
        <v>31</v>
      </c>
      <c r="F802" s="9" t="s">
        <v>17</v>
      </c>
      <c r="G802" s="9" t="s">
        <v>36</v>
      </c>
      <c r="H802" s="5">
        <v>58</v>
      </c>
      <c r="I802" s="6">
        <v>38521</v>
      </c>
      <c r="J802" s="7">
        <v>86089</v>
      </c>
      <c r="K802" s="9" t="s">
        <v>19</v>
      </c>
      <c r="L802" s="9" t="s">
        <v>27</v>
      </c>
      <c r="M802">
        <f t="shared" ca="1" si="24"/>
        <v>20</v>
      </c>
      <c r="N802">
        <f t="shared" ca="1" si="25"/>
        <v>9.5</v>
      </c>
    </row>
    <row r="803" spans="1:14" x14ac:dyDescent="0.3">
      <c r="A803" s="5" t="s">
        <v>819</v>
      </c>
      <c r="B803" s="9" t="s">
        <v>820</v>
      </c>
      <c r="C803" s="9" t="s">
        <v>67</v>
      </c>
      <c r="D803" s="9" t="s">
        <v>24</v>
      </c>
      <c r="E803" s="9" t="s">
        <v>16</v>
      </c>
      <c r="F803" s="9" t="s">
        <v>35</v>
      </c>
      <c r="G803" s="9" t="s">
        <v>73</v>
      </c>
      <c r="H803" s="5">
        <v>36</v>
      </c>
      <c r="I803" s="6">
        <v>43330</v>
      </c>
      <c r="J803" s="7">
        <v>223404</v>
      </c>
      <c r="K803" s="9" t="s">
        <v>19</v>
      </c>
      <c r="L803" s="9" t="s">
        <v>76</v>
      </c>
      <c r="M803">
        <f t="shared" ca="1" si="24"/>
        <v>7</v>
      </c>
      <c r="N803">
        <f t="shared" ca="1" si="25"/>
        <v>4</v>
      </c>
    </row>
    <row r="804" spans="1:14" x14ac:dyDescent="0.3">
      <c r="A804" s="5" t="s">
        <v>280</v>
      </c>
      <c r="B804" s="9" t="s">
        <v>150</v>
      </c>
      <c r="C804" s="9" t="s">
        <v>14</v>
      </c>
      <c r="D804" s="9" t="s">
        <v>79</v>
      </c>
      <c r="E804" s="9" t="s">
        <v>16</v>
      </c>
      <c r="F804" s="9" t="s">
        <v>17</v>
      </c>
      <c r="G804" s="9" t="s">
        <v>26</v>
      </c>
      <c r="H804" s="5">
        <v>62</v>
      </c>
      <c r="I804" s="6">
        <v>36374</v>
      </c>
      <c r="J804" s="7">
        <v>137995</v>
      </c>
      <c r="K804" s="9" t="s">
        <v>19</v>
      </c>
      <c r="L804" s="9" t="s">
        <v>51</v>
      </c>
      <c r="M804">
        <f t="shared" ca="1" si="24"/>
        <v>26</v>
      </c>
      <c r="N804">
        <f t="shared" ca="1" si="25"/>
        <v>10</v>
      </c>
    </row>
    <row r="805" spans="1:14" x14ac:dyDescent="0.3">
      <c r="A805" s="5" t="s">
        <v>927</v>
      </c>
      <c r="B805" s="9" t="s">
        <v>928</v>
      </c>
      <c r="C805" s="9" t="s">
        <v>14</v>
      </c>
      <c r="D805" s="9" t="s">
        <v>68</v>
      </c>
      <c r="E805" s="9" t="s">
        <v>31</v>
      </c>
      <c r="F805" s="9" t="s">
        <v>35</v>
      </c>
      <c r="G805" s="9" t="s">
        <v>36</v>
      </c>
      <c r="H805" s="5">
        <v>60</v>
      </c>
      <c r="I805" s="6">
        <v>44403</v>
      </c>
      <c r="J805" s="7">
        <v>121480</v>
      </c>
      <c r="K805" s="9" t="s">
        <v>19</v>
      </c>
      <c r="L805" s="9" t="s">
        <v>37</v>
      </c>
      <c r="M805">
        <f t="shared" ca="1" si="24"/>
        <v>4</v>
      </c>
      <c r="N805">
        <f t="shared" ca="1" si="25"/>
        <v>3</v>
      </c>
    </row>
    <row r="806" spans="1:14" x14ac:dyDescent="0.3">
      <c r="A806" s="5" t="s">
        <v>671</v>
      </c>
      <c r="B806" s="9" t="s">
        <v>672</v>
      </c>
      <c r="C806" s="9" t="s">
        <v>14</v>
      </c>
      <c r="D806" s="9" t="s">
        <v>68</v>
      </c>
      <c r="E806" s="9" t="s">
        <v>16</v>
      </c>
      <c r="F806" s="9" t="s">
        <v>17</v>
      </c>
      <c r="G806" s="9" t="s">
        <v>36</v>
      </c>
      <c r="H806" s="5">
        <v>25</v>
      </c>
      <c r="I806" s="6">
        <v>43930</v>
      </c>
      <c r="J806" s="7">
        <v>157057</v>
      </c>
      <c r="K806" s="9" t="s">
        <v>19</v>
      </c>
      <c r="L806" s="9" t="s">
        <v>76</v>
      </c>
      <c r="M806">
        <f t="shared" ca="1" si="24"/>
        <v>5</v>
      </c>
      <c r="N806">
        <f t="shared" ca="1" si="25"/>
        <v>3</v>
      </c>
    </row>
    <row r="807" spans="1:14" x14ac:dyDescent="0.3">
      <c r="A807" s="5" t="s">
        <v>1811</v>
      </c>
      <c r="B807" s="9" t="s">
        <v>1812</v>
      </c>
      <c r="C807" s="9" t="s">
        <v>34</v>
      </c>
      <c r="D807" s="9" t="s">
        <v>50</v>
      </c>
      <c r="E807" s="9" t="s">
        <v>16</v>
      </c>
      <c r="F807" s="9" t="s">
        <v>35</v>
      </c>
      <c r="G807" s="9" t="s">
        <v>73</v>
      </c>
      <c r="H807" s="5">
        <v>58</v>
      </c>
      <c r="I807" s="6">
        <v>34592</v>
      </c>
      <c r="J807" s="7">
        <v>98769</v>
      </c>
      <c r="K807" s="9" t="s">
        <v>1717</v>
      </c>
      <c r="L807" s="9" t="s">
        <v>1721</v>
      </c>
      <c r="M807">
        <f t="shared" ca="1" si="24"/>
        <v>31</v>
      </c>
      <c r="N807">
        <f t="shared" ca="1" si="25"/>
        <v>15</v>
      </c>
    </row>
    <row r="808" spans="1:14" x14ac:dyDescent="0.3">
      <c r="A808" s="5" t="s">
        <v>740</v>
      </c>
      <c r="B808" s="9" t="s">
        <v>741</v>
      </c>
      <c r="C808" s="9" t="s">
        <v>181</v>
      </c>
      <c r="D808" s="9" t="s">
        <v>79</v>
      </c>
      <c r="E808" s="9" t="s">
        <v>25</v>
      </c>
      <c r="F808" s="9" t="s">
        <v>17</v>
      </c>
      <c r="G808" s="9" t="s">
        <v>36</v>
      </c>
      <c r="H808" s="5">
        <v>45</v>
      </c>
      <c r="I808" s="6">
        <v>36754</v>
      </c>
      <c r="J808" s="7">
        <v>60113</v>
      </c>
      <c r="K808" s="9" t="s">
        <v>19</v>
      </c>
      <c r="L808" s="9" t="s">
        <v>27</v>
      </c>
      <c r="M808">
        <f t="shared" ca="1" si="24"/>
        <v>25</v>
      </c>
      <c r="N808">
        <f t="shared" ca="1" si="25"/>
        <v>10</v>
      </c>
    </row>
    <row r="809" spans="1:14" x14ac:dyDescent="0.3">
      <c r="A809" s="5" t="s">
        <v>949</v>
      </c>
      <c r="B809" s="9" t="s">
        <v>950</v>
      </c>
      <c r="C809" s="9" t="s">
        <v>191</v>
      </c>
      <c r="D809" s="9" t="s">
        <v>60</v>
      </c>
      <c r="E809" s="9" t="s">
        <v>16</v>
      </c>
      <c r="F809" s="9" t="s">
        <v>17</v>
      </c>
      <c r="G809" s="9" t="s">
        <v>36</v>
      </c>
      <c r="H809" s="5">
        <v>63</v>
      </c>
      <c r="I809" s="6">
        <v>43227</v>
      </c>
      <c r="J809" s="7">
        <v>67987</v>
      </c>
      <c r="K809" s="9" t="s">
        <v>19</v>
      </c>
      <c r="L809" s="9" t="s">
        <v>45</v>
      </c>
      <c r="M809">
        <f t="shared" ca="1" si="24"/>
        <v>7</v>
      </c>
      <c r="N809">
        <f t="shared" ca="1" si="25"/>
        <v>4</v>
      </c>
    </row>
    <row r="810" spans="1:14" x14ac:dyDescent="0.3">
      <c r="A810" s="5" t="s">
        <v>870</v>
      </c>
      <c r="B810" s="9" t="s">
        <v>871</v>
      </c>
      <c r="C810" s="9" t="s">
        <v>59</v>
      </c>
      <c r="D810" s="9" t="s">
        <v>60</v>
      </c>
      <c r="E810" s="9" t="s">
        <v>31</v>
      </c>
      <c r="F810" s="9" t="s">
        <v>17</v>
      </c>
      <c r="G810" s="9" t="s">
        <v>18</v>
      </c>
      <c r="H810" s="5">
        <v>55</v>
      </c>
      <c r="I810" s="6">
        <v>44276</v>
      </c>
      <c r="J810" s="7">
        <v>95562</v>
      </c>
      <c r="K810" s="9" t="s">
        <v>19</v>
      </c>
      <c r="L810" s="9" t="s">
        <v>27</v>
      </c>
      <c r="M810">
        <f t="shared" ca="1" si="24"/>
        <v>4</v>
      </c>
      <c r="N810">
        <f t="shared" ca="1" si="25"/>
        <v>3</v>
      </c>
    </row>
    <row r="811" spans="1:14" x14ac:dyDescent="0.3">
      <c r="A811" s="5" t="s">
        <v>565</v>
      </c>
      <c r="B811" s="9" t="s">
        <v>566</v>
      </c>
      <c r="C811" s="9" t="s">
        <v>91</v>
      </c>
      <c r="D811" s="9" t="s">
        <v>68</v>
      </c>
      <c r="E811" s="9" t="s">
        <v>31</v>
      </c>
      <c r="F811" s="9" t="s">
        <v>35</v>
      </c>
      <c r="G811" s="9" t="s">
        <v>26</v>
      </c>
      <c r="H811" s="5">
        <v>48</v>
      </c>
      <c r="I811" s="6">
        <v>38623</v>
      </c>
      <c r="J811" s="7">
        <v>74655</v>
      </c>
      <c r="K811" s="9" t="s">
        <v>19</v>
      </c>
      <c r="L811" s="9" t="s">
        <v>51</v>
      </c>
      <c r="M811">
        <f t="shared" ca="1" si="24"/>
        <v>20</v>
      </c>
      <c r="N811">
        <f t="shared" ca="1" si="25"/>
        <v>9.5</v>
      </c>
    </row>
    <row r="812" spans="1:14" x14ac:dyDescent="0.3">
      <c r="A812" s="5" t="s">
        <v>1042</v>
      </c>
      <c r="B812" s="9" t="s">
        <v>1043</v>
      </c>
      <c r="C812" s="9" t="s">
        <v>133</v>
      </c>
      <c r="D812" s="9" t="s">
        <v>60</v>
      </c>
      <c r="E812" s="9" t="s">
        <v>31</v>
      </c>
      <c r="F812" s="9" t="s">
        <v>35</v>
      </c>
      <c r="G812" s="9" t="s">
        <v>36</v>
      </c>
      <c r="H812" s="5">
        <v>57</v>
      </c>
      <c r="I812" s="6">
        <v>43157</v>
      </c>
      <c r="J812" s="7">
        <v>103183</v>
      </c>
      <c r="K812" s="9" t="s">
        <v>19</v>
      </c>
      <c r="L812" s="9" t="s">
        <v>51</v>
      </c>
      <c r="M812">
        <f t="shared" ca="1" si="24"/>
        <v>7</v>
      </c>
      <c r="N812">
        <f t="shared" ca="1" si="25"/>
        <v>4</v>
      </c>
    </row>
    <row r="813" spans="1:14" x14ac:dyDescent="0.3">
      <c r="A813" s="5" t="s">
        <v>140</v>
      </c>
      <c r="B813" s="9" t="s">
        <v>141</v>
      </c>
      <c r="C813" s="9" t="s">
        <v>142</v>
      </c>
      <c r="D813" s="9" t="s">
        <v>60</v>
      </c>
      <c r="E813" s="9" t="s">
        <v>41</v>
      </c>
      <c r="F813" s="9" t="s">
        <v>17</v>
      </c>
      <c r="G813" s="9" t="s">
        <v>73</v>
      </c>
      <c r="H813" s="5">
        <v>44</v>
      </c>
      <c r="I813" s="6">
        <v>39800</v>
      </c>
      <c r="J813" s="7">
        <v>92753</v>
      </c>
      <c r="K813" s="9" t="s">
        <v>19</v>
      </c>
      <c r="L813" s="9" t="s">
        <v>51</v>
      </c>
      <c r="M813">
        <f t="shared" ca="1" si="24"/>
        <v>16</v>
      </c>
      <c r="N813">
        <f t="shared" ca="1" si="25"/>
        <v>8</v>
      </c>
    </row>
    <row r="814" spans="1:14" x14ac:dyDescent="0.3">
      <c r="A814" s="5" t="s">
        <v>763</v>
      </c>
      <c r="B814" s="9" t="s">
        <v>764</v>
      </c>
      <c r="C814" s="9" t="s">
        <v>191</v>
      </c>
      <c r="D814" s="9" t="s">
        <v>60</v>
      </c>
      <c r="E814" s="9" t="s">
        <v>16</v>
      </c>
      <c r="F814" s="9" t="s">
        <v>17</v>
      </c>
      <c r="G814" s="9" t="s">
        <v>36</v>
      </c>
      <c r="H814" s="5">
        <v>36</v>
      </c>
      <c r="I814" s="6">
        <v>43448</v>
      </c>
      <c r="J814" s="7">
        <v>96757</v>
      </c>
      <c r="K814" s="9" t="s">
        <v>19</v>
      </c>
      <c r="L814" s="9" t="s">
        <v>76</v>
      </c>
      <c r="M814">
        <f t="shared" ca="1" si="24"/>
        <v>6</v>
      </c>
      <c r="N814">
        <f t="shared" ca="1" si="25"/>
        <v>4</v>
      </c>
    </row>
    <row r="815" spans="1:14" x14ac:dyDescent="0.3">
      <c r="A815" s="5" t="s">
        <v>858</v>
      </c>
      <c r="B815" s="9" t="s">
        <v>859</v>
      </c>
      <c r="C815" s="9" t="s">
        <v>34</v>
      </c>
      <c r="D815" s="9" t="s">
        <v>24</v>
      </c>
      <c r="E815" s="9" t="s">
        <v>41</v>
      </c>
      <c r="F815" s="9" t="s">
        <v>35</v>
      </c>
      <c r="G815" s="9" t="s">
        <v>36</v>
      </c>
      <c r="H815" s="5">
        <v>49</v>
      </c>
      <c r="I815" s="6">
        <v>43623</v>
      </c>
      <c r="J815" s="7">
        <v>80700</v>
      </c>
      <c r="K815" s="9" t="s">
        <v>19</v>
      </c>
      <c r="L815" s="9" t="s">
        <v>76</v>
      </c>
      <c r="M815">
        <f t="shared" ca="1" si="24"/>
        <v>6</v>
      </c>
      <c r="N815">
        <f t="shared" ca="1" si="25"/>
        <v>4</v>
      </c>
    </row>
    <row r="816" spans="1:14" x14ac:dyDescent="0.3">
      <c r="A816" s="5" t="s">
        <v>860</v>
      </c>
      <c r="B816" s="9" t="s">
        <v>861</v>
      </c>
      <c r="C816" s="9" t="s">
        <v>91</v>
      </c>
      <c r="D816" s="9" t="s">
        <v>68</v>
      </c>
      <c r="E816" s="9" t="s">
        <v>41</v>
      </c>
      <c r="F816" s="9" t="s">
        <v>17</v>
      </c>
      <c r="G816" s="9" t="s">
        <v>26</v>
      </c>
      <c r="H816" s="5">
        <v>39</v>
      </c>
      <c r="I816" s="6">
        <v>42843</v>
      </c>
      <c r="J816" s="7">
        <v>58745</v>
      </c>
      <c r="K816" s="9" t="s">
        <v>19</v>
      </c>
      <c r="L816" s="9" t="s">
        <v>51</v>
      </c>
      <c r="M816">
        <f t="shared" ca="1" si="24"/>
        <v>8</v>
      </c>
      <c r="N816">
        <f t="shared" ca="1" si="25"/>
        <v>5.5</v>
      </c>
    </row>
    <row r="817" spans="1:14" x14ac:dyDescent="0.3">
      <c r="A817" s="5" t="s">
        <v>1807</v>
      </c>
      <c r="B817" s="9" t="s">
        <v>1808</v>
      </c>
      <c r="C817" s="9" t="s">
        <v>40</v>
      </c>
      <c r="D817" s="9" t="s">
        <v>56</v>
      </c>
      <c r="E817" s="9" t="s">
        <v>41</v>
      </c>
      <c r="F817" s="9" t="s">
        <v>35</v>
      </c>
      <c r="G817" s="9" t="s">
        <v>73</v>
      </c>
      <c r="H817" s="5">
        <v>46</v>
      </c>
      <c r="I817" s="6">
        <v>40810</v>
      </c>
      <c r="J817" s="7">
        <v>102167</v>
      </c>
      <c r="K817" s="9" t="s">
        <v>1717</v>
      </c>
      <c r="L817" s="9" t="s">
        <v>1721</v>
      </c>
      <c r="M817">
        <f t="shared" ca="1" si="24"/>
        <v>14</v>
      </c>
      <c r="N817">
        <f t="shared" ca="1" si="25"/>
        <v>8</v>
      </c>
    </row>
    <row r="818" spans="1:14" x14ac:dyDescent="0.3">
      <c r="A818" s="5" t="s">
        <v>1709</v>
      </c>
      <c r="B818" s="9" t="s">
        <v>1710</v>
      </c>
      <c r="C818" s="9" t="s">
        <v>130</v>
      </c>
      <c r="D818" s="9" t="s">
        <v>60</v>
      </c>
      <c r="E818" s="9" t="s">
        <v>41</v>
      </c>
      <c r="F818" s="9" t="s">
        <v>17</v>
      </c>
      <c r="G818" s="9" t="s">
        <v>36</v>
      </c>
      <c r="H818" s="5">
        <v>45</v>
      </c>
      <c r="I818" s="6">
        <v>40967</v>
      </c>
      <c r="J818" s="7">
        <v>89659</v>
      </c>
      <c r="K818" s="9" t="s">
        <v>1310</v>
      </c>
      <c r="L818" s="9" t="s">
        <v>1323</v>
      </c>
      <c r="M818">
        <f t="shared" ca="1" si="24"/>
        <v>13</v>
      </c>
      <c r="N818">
        <f t="shared" ca="1" si="25"/>
        <v>8</v>
      </c>
    </row>
    <row r="819" spans="1:14" x14ac:dyDescent="0.3">
      <c r="A819" s="5" t="s">
        <v>365</v>
      </c>
      <c r="B819" s="9" t="s">
        <v>1468</v>
      </c>
      <c r="C819" s="9" t="s">
        <v>14</v>
      </c>
      <c r="D819" s="9" t="s">
        <v>24</v>
      </c>
      <c r="E819" s="9" t="s">
        <v>31</v>
      </c>
      <c r="F819" s="9" t="s">
        <v>17</v>
      </c>
      <c r="G819" s="9" t="s">
        <v>36</v>
      </c>
      <c r="H819" s="5">
        <v>42</v>
      </c>
      <c r="I819" s="6">
        <v>40620</v>
      </c>
      <c r="J819" s="7">
        <v>150034</v>
      </c>
      <c r="K819" s="9" t="s">
        <v>1310</v>
      </c>
      <c r="L819" s="9" t="s">
        <v>1323</v>
      </c>
      <c r="M819">
        <f t="shared" ca="1" si="24"/>
        <v>14</v>
      </c>
      <c r="N819">
        <f t="shared" ca="1" si="25"/>
        <v>8</v>
      </c>
    </row>
    <row r="820" spans="1:14" x14ac:dyDescent="0.3">
      <c r="A820" s="5" t="s">
        <v>365</v>
      </c>
      <c r="B820" s="9" t="s">
        <v>366</v>
      </c>
      <c r="C820" s="9" t="s">
        <v>34</v>
      </c>
      <c r="D820" s="9" t="s">
        <v>68</v>
      </c>
      <c r="E820" s="9" t="s">
        <v>16</v>
      </c>
      <c r="F820" s="9" t="s">
        <v>17</v>
      </c>
      <c r="G820" s="9" t="s">
        <v>26</v>
      </c>
      <c r="H820" s="5">
        <v>34</v>
      </c>
      <c r="I820" s="6">
        <v>41085</v>
      </c>
      <c r="J820" s="7">
        <v>83066</v>
      </c>
      <c r="K820" s="9" t="s">
        <v>19</v>
      </c>
      <c r="L820" s="9" t="s">
        <v>27</v>
      </c>
      <c r="M820">
        <f t="shared" ca="1" si="24"/>
        <v>13</v>
      </c>
      <c r="N820">
        <f t="shared" ca="1" si="25"/>
        <v>8</v>
      </c>
    </row>
    <row r="821" spans="1:14" x14ac:dyDescent="0.3">
      <c r="A821" s="5" t="s">
        <v>1805</v>
      </c>
      <c r="B821" s="9" t="s">
        <v>1806</v>
      </c>
      <c r="C821" s="9" t="s">
        <v>14</v>
      </c>
      <c r="D821" s="9" t="s">
        <v>24</v>
      </c>
      <c r="E821" s="9" t="s">
        <v>16</v>
      </c>
      <c r="F821" s="9" t="s">
        <v>35</v>
      </c>
      <c r="G821" s="9" t="s">
        <v>73</v>
      </c>
      <c r="H821" s="5">
        <v>31</v>
      </c>
      <c r="I821" s="6">
        <v>42266</v>
      </c>
      <c r="J821" s="7">
        <v>145846</v>
      </c>
      <c r="K821" s="9" t="s">
        <v>1717</v>
      </c>
      <c r="L821" s="9" t="s">
        <v>1718</v>
      </c>
      <c r="M821">
        <f t="shared" ca="1" si="24"/>
        <v>10</v>
      </c>
      <c r="N821">
        <f t="shared" ca="1" si="25"/>
        <v>5.5</v>
      </c>
    </row>
    <row r="822" spans="1:14" x14ac:dyDescent="0.3">
      <c r="A822" s="5" t="s">
        <v>1503</v>
      </c>
      <c r="B822" s="9" t="s">
        <v>1504</v>
      </c>
      <c r="C822" s="9" t="s">
        <v>88</v>
      </c>
      <c r="D822" s="9" t="s">
        <v>15</v>
      </c>
      <c r="E822" s="9" t="s">
        <v>25</v>
      </c>
      <c r="F822" s="9" t="s">
        <v>17</v>
      </c>
      <c r="G822" s="9" t="s">
        <v>36</v>
      </c>
      <c r="H822" s="5">
        <v>39</v>
      </c>
      <c r="I822" s="6">
        <v>44153</v>
      </c>
      <c r="J822" s="7">
        <v>48415</v>
      </c>
      <c r="K822" s="9" t="s">
        <v>1310</v>
      </c>
      <c r="L822" s="9" t="s">
        <v>1316</v>
      </c>
      <c r="M822">
        <f t="shared" ca="1" si="24"/>
        <v>5</v>
      </c>
      <c r="N822">
        <f t="shared" ca="1" si="25"/>
        <v>3</v>
      </c>
    </row>
    <row r="823" spans="1:14" x14ac:dyDescent="0.3">
      <c r="A823" s="5" t="s">
        <v>918</v>
      </c>
      <c r="B823" s="9" t="s">
        <v>919</v>
      </c>
      <c r="C823" s="9" t="s">
        <v>577</v>
      </c>
      <c r="D823" s="9" t="s">
        <v>15</v>
      </c>
      <c r="E823" s="9" t="s">
        <v>41</v>
      </c>
      <c r="F823" s="9" t="s">
        <v>35</v>
      </c>
      <c r="G823" s="9" t="s">
        <v>36</v>
      </c>
      <c r="H823" s="5">
        <v>51</v>
      </c>
      <c r="I823" s="6">
        <v>37638</v>
      </c>
      <c r="J823" s="7">
        <v>91399</v>
      </c>
      <c r="K823" s="9" t="s">
        <v>19</v>
      </c>
      <c r="L823" s="9" t="s">
        <v>20</v>
      </c>
      <c r="M823">
        <f t="shared" ca="1" si="24"/>
        <v>22</v>
      </c>
      <c r="N823">
        <f t="shared" ca="1" si="25"/>
        <v>9.5</v>
      </c>
    </row>
    <row r="824" spans="1:14" x14ac:dyDescent="0.3">
      <c r="A824" s="5" t="s">
        <v>462</v>
      </c>
      <c r="B824" s="9" t="s">
        <v>463</v>
      </c>
      <c r="C824" s="9" t="s">
        <v>67</v>
      </c>
      <c r="D824" s="9" t="s">
        <v>24</v>
      </c>
      <c r="E824" s="9" t="s">
        <v>31</v>
      </c>
      <c r="F824" s="9" t="s">
        <v>17</v>
      </c>
      <c r="G824" s="9" t="s">
        <v>26</v>
      </c>
      <c r="H824" s="5">
        <v>48</v>
      </c>
      <c r="I824" s="6">
        <v>43253</v>
      </c>
      <c r="J824" s="7">
        <v>231567</v>
      </c>
      <c r="K824" s="9" t="s">
        <v>19</v>
      </c>
      <c r="L824" s="9" t="s">
        <v>20</v>
      </c>
      <c r="M824">
        <f t="shared" ca="1" si="24"/>
        <v>7</v>
      </c>
      <c r="N824">
        <f t="shared" ca="1" si="25"/>
        <v>4</v>
      </c>
    </row>
    <row r="825" spans="1:14" x14ac:dyDescent="0.3">
      <c r="A825" s="5" t="s">
        <v>1079</v>
      </c>
      <c r="B825" s="9" t="s">
        <v>1080</v>
      </c>
      <c r="C825" s="9" t="s">
        <v>253</v>
      </c>
      <c r="D825" s="9" t="s">
        <v>15</v>
      </c>
      <c r="E825" s="9" t="s">
        <v>31</v>
      </c>
      <c r="F825" s="9" t="s">
        <v>35</v>
      </c>
      <c r="G825" s="9" t="s">
        <v>26</v>
      </c>
      <c r="H825" s="5">
        <v>41</v>
      </c>
      <c r="I825" s="6">
        <v>43013</v>
      </c>
      <c r="J825" s="7">
        <v>67468</v>
      </c>
      <c r="K825" s="9" t="s">
        <v>19</v>
      </c>
      <c r="L825" s="9" t="s">
        <v>45</v>
      </c>
      <c r="M825">
        <f t="shared" ca="1" si="24"/>
        <v>8</v>
      </c>
      <c r="N825">
        <f t="shared" ca="1" si="25"/>
        <v>5.5</v>
      </c>
    </row>
    <row r="826" spans="1:14" x14ac:dyDescent="0.3">
      <c r="A826" s="5" t="s">
        <v>1576</v>
      </c>
      <c r="B826" s="9" t="s">
        <v>1577</v>
      </c>
      <c r="C826" s="9" t="s">
        <v>40</v>
      </c>
      <c r="D826" s="9" t="s">
        <v>15</v>
      </c>
      <c r="E826" s="9" t="s">
        <v>41</v>
      </c>
      <c r="F826" s="9" t="s">
        <v>35</v>
      </c>
      <c r="G826" s="9" t="s">
        <v>36</v>
      </c>
      <c r="H826" s="5">
        <v>60</v>
      </c>
      <c r="I826" s="6">
        <v>36554</v>
      </c>
      <c r="J826" s="7">
        <v>109059</v>
      </c>
      <c r="K826" s="9" t="s">
        <v>1310</v>
      </c>
      <c r="L826" s="9" t="s">
        <v>1330</v>
      </c>
      <c r="M826">
        <f t="shared" ca="1" si="24"/>
        <v>25</v>
      </c>
      <c r="N826">
        <f t="shared" ca="1" si="25"/>
        <v>10</v>
      </c>
    </row>
    <row r="827" spans="1:14" x14ac:dyDescent="0.3">
      <c r="A827" s="5" t="s">
        <v>967</v>
      </c>
      <c r="B827" s="9" t="s">
        <v>968</v>
      </c>
      <c r="C827" s="9" t="s">
        <v>67</v>
      </c>
      <c r="D827" s="9" t="s">
        <v>24</v>
      </c>
      <c r="E827" s="9" t="s">
        <v>16</v>
      </c>
      <c r="F827" s="9" t="s">
        <v>35</v>
      </c>
      <c r="G827" s="9" t="s">
        <v>36</v>
      </c>
      <c r="H827" s="5">
        <v>52</v>
      </c>
      <c r="I827" s="6">
        <v>35576</v>
      </c>
      <c r="J827" s="7">
        <v>216999</v>
      </c>
      <c r="K827" s="9" t="s">
        <v>19</v>
      </c>
      <c r="L827" s="9" t="s">
        <v>45</v>
      </c>
      <c r="M827">
        <f t="shared" ca="1" si="24"/>
        <v>28</v>
      </c>
      <c r="N827">
        <f t="shared" ca="1" si="25"/>
        <v>10</v>
      </c>
    </row>
    <row r="828" spans="1:14" x14ac:dyDescent="0.3">
      <c r="A828" s="5" t="s">
        <v>1218</v>
      </c>
      <c r="B828" s="9" t="s">
        <v>1219</v>
      </c>
      <c r="C828" s="9" t="s">
        <v>14</v>
      </c>
      <c r="D828" s="9" t="s">
        <v>15</v>
      </c>
      <c r="E828" s="9" t="s">
        <v>31</v>
      </c>
      <c r="F828" s="9" t="s">
        <v>35</v>
      </c>
      <c r="G828" s="9" t="s">
        <v>36</v>
      </c>
      <c r="H828" s="5">
        <v>46</v>
      </c>
      <c r="I828" s="6">
        <v>43085</v>
      </c>
      <c r="J828" s="7">
        <v>136716</v>
      </c>
      <c r="K828" s="9" t="s">
        <v>19</v>
      </c>
      <c r="L828" s="9" t="s">
        <v>51</v>
      </c>
      <c r="M828">
        <f t="shared" ca="1" si="24"/>
        <v>7</v>
      </c>
      <c r="N828">
        <f t="shared" ca="1" si="25"/>
        <v>4</v>
      </c>
    </row>
    <row r="829" spans="1:14" x14ac:dyDescent="0.3">
      <c r="A829" s="5" t="s">
        <v>1077</v>
      </c>
      <c r="B829" s="9" t="s">
        <v>1138</v>
      </c>
      <c r="C829" s="9" t="s">
        <v>14</v>
      </c>
      <c r="D829" s="9" t="s">
        <v>68</v>
      </c>
      <c r="E829" s="9" t="s">
        <v>25</v>
      </c>
      <c r="F829" s="9" t="s">
        <v>35</v>
      </c>
      <c r="G829" s="9" t="s">
        <v>26</v>
      </c>
      <c r="H829" s="5">
        <v>45</v>
      </c>
      <c r="I829" s="6">
        <v>43111</v>
      </c>
      <c r="J829" s="7">
        <v>127422</v>
      </c>
      <c r="K829" s="9" t="s">
        <v>19</v>
      </c>
      <c r="L829" s="9" t="s">
        <v>76</v>
      </c>
      <c r="M829">
        <f t="shared" ca="1" si="24"/>
        <v>7</v>
      </c>
      <c r="N829">
        <f t="shared" ca="1" si="25"/>
        <v>4</v>
      </c>
    </row>
    <row r="830" spans="1:14" x14ac:dyDescent="0.3">
      <c r="A830" s="5" t="s">
        <v>1077</v>
      </c>
      <c r="B830" s="9" t="s">
        <v>1078</v>
      </c>
      <c r="C830" s="9" t="s">
        <v>34</v>
      </c>
      <c r="D830" s="9" t="s">
        <v>50</v>
      </c>
      <c r="E830" s="9" t="s">
        <v>25</v>
      </c>
      <c r="F830" s="9" t="s">
        <v>17</v>
      </c>
      <c r="G830" s="9" t="s">
        <v>26</v>
      </c>
      <c r="H830" s="5">
        <v>38</v>
      </c>
      <c r="I830" s="6">
        <v>44036</v>
      </c>
      <c r="J830" s="7">
        <v>89390</v>
      </c>
      <c r="K830" s="9" t="s">
        <v>19</v>
      </c>
      <c r="L830" s="9" t="s">
        <v>20</v>
      </c>
      <c r="M830">
        <f t="shared" ca="1" si="24"/>
        <v>5</v>
      </c>
      <c r="N830">
        <f t="shared" ca="1" si="25"/>
        <v>3</v>
      </c>
    </row>
    <row r="831" spans="1:14" x14ac:dyDescent="0.3">
      <c r="A831" s="5" t="s">
        <v>590</v>
      </c>
      <c r="B831" s="9" t="s">
        <v>591</v>
      </c>
      <c r="C831" s="9" t="s">
        <v>23</v>
      </c>
      <c r="D831" s="9" t="s">
        <v>79</v>
      </c>
      <c r="E831" s="9" t="s">
        <v>25</v>
      </c>
      <c r="F831" s="9" t="s">
        <v>17</v>
      </c>
      <c r="G831" s="9" t="s">
        <v>26</v>
      </c>
      <c r="H831" s="5">
        <v>63</v>
      </c>
      <c r="I831" s="6">
        <v>43996</v>
      </c>
      <c r="J831" s="7">
        <v>181216</v>
      </c>
      <c r="K831" s="9" t="s">
        <v>19</v>
      </c>
      <c r="L831" s="9" t="s">
        <v>76</v>
      </c>
      <c r="M831">
        <f t="shared" ca="1" si="24"/>
        <v>5</v>
      </c>
      <c r="N831">
        <f t="shared" ca="1" si="25"/>
        <v>3</v>
      </c>
    </row>
    <row r="832" spans="1:14" x14ac:dyDescent="0.3">
      <c r="A832" s="5" t="s">
        <v>1792</v>
      </c>
      <c r="B832" s="9" t="s">
        <v>1793</v>
      </c>
      <c r="C832" s="9" t="s">
        <v>67</v>
      </c>
      <c r="D832" s="9" t="s">
        <v>24</v>
      </c>
      <c r="E832" s="9" t="s">
        <v>41</v>
      </c>
      <c r="F832" s="9" t="s">
        <v>17</v>
      </c>
      <c r="G832" s="9" t="s">
        <v>73</v>
      </c>
      <c r="H832" s="5">
        <v>27</v>
      </c>
      <c r="I832" s="6">
        <v>44545</v>
      </c>
      <c r="J832" s="7">
        <v>255369</v>
      </c>
      <c r="K832" s="9" t="s">
        <v>1717</v>
      </c>
      <c r="L832" s="9" t="s">
        <v>1736</v>
      </c>
      <c r="M832">
        <f t="shared" ca="1" si="24"/>
        <v>3</v>
      </c>
      <c r="N832">
        <f t="shared" ca="1" si="25"/>
        <v>3</v>
      </c>
    </row>
    <row r="833" spans="1:14" x14ac:dyDescent="0.3">
      <c r="A833" s="5" t="s">
        <v>1308</v>
      </c>
      <c r="B833" s="9" t="s">
        <v>1309</v>
      </c>
      <c r="C833" s="9" t="s">
        <v>101</v>
      </c>
      <c r="D833" s="9" t="s">
        <v>15</v>
      </c>
      <c r="E833" s="9" t="s">
        <v>31</v>
      </c>
      <c r="F833" s="9" t="s">
        <v>35</v>
      </c>
      <c r="G833" s="9" t="s">
        <v>36</v>
      </c>
      <c r="H833" s="5">
        <v>59</v>
      </c>
      <c r="I833" s="6">
        <v>35763</v>
      </c>
      <c r="J833" s="7">
        <v>99975</v>
      </c>
      <c r="K833" s="9" t="s">
        <v>1310</v>
      </c>
      <c r="L833" s="9" t="s">
        <v>1311</v>
      </c>
      <c r="M833">
        <f t="shared" ca="1" si="24"/>
        <v>28</v>
      </c>
      <c r="N833">
        <f t="shared" ca="1" si="25"/>
        <v>10</v>
      </c>
    </row>
    <row r="834" spans="1:14" x14ac:dyDescent="0.3">
      <c r="A834" s="5" t="s">
        <v>1862</v>
      </c>
      <c r="B834" s="9" t="s">
        <v>1863</v>
      </c>
      <c r="C834" s="9" t="s">
        <v>34</v>
      </c>
      <c r="D834" s="9" t="s">
        <v>79</v>
      </c>
      <c r="E834" s="9" t="s">
        <v>31</v>
      </c>
      <c r="F834" s="9" t="s">
        <v>17</v>
      </c>
      <c r="G834" s="9" t="s">
        <v>73</v>
      </c>
      <c r="H834" s="5">
        <v>33</v>
      </c>
      <c r="I834" s="6">
        <v>41043</v>
      </c>
      <c r="J834" s="7">
        <v>88343</v>
      </c>
      <c r="K834" s="9" t="s">
        <v>1717</v>
      </c>
      <c r="L834" s="9" t="s">
        <v>1721</v>
      </c>
      <c r="M834">
        <f t="shared" ca="1" si="24"/>
        <v>13</v>
      </c>
      <c r="N834">
        <f t="shared" ca="1" si="25"/>
        <v>8</v>
      </c>
    </row>
    <row r="835" spans="1:14" x14ac:dyDescent="0.3">
      <c r="A835" s="5" t="s">
        <v>1040</v>
      </c>
      <c r="B835" s="9" t="s">
        <v>1041</v>
      </c>
      <c r="C835" s="9" t="s">
        <v>88</v>
      </c>
      <c r="D835" s="9" t="s">
        <v>15</v>
      </c>
      <c r="E835" s="9" t="s">
        <v>31</v>
      </c>
      <c r="F835" s="9" t="s">
        <v>17</v>
      </c>
      <c r="G835" s="9" t="s">
        <v>26</v>
      </c>
      <c r="H835" s="5">
        <v>55</v>
      </c>
      <c r="I835" s="6">
        <v>38107</v>
      </c>
      <c r="J835" s="7">
        <v>40124</v>
      </c>
      <c r="K835" s="9" t="s">
        <v>19</v>
      </c>
      <c r="L835" s="9" t="s">
        <v>51</v>
      </c>
      <c r="M835">
        <f t="shared" ref="M835:M898" ca="1" si="26">DATEDIF(I835,TODAY(),"Y")</f>
        <v>21</v>
      </c>
      <c r="N835">
        <f t="shared" ref="N835:N898" ca="1" si="27">_xlfn.XLOOKUP(M835,$Q$3:$Q$11,$R$3:$R$11,0,-1)</f>
        <v>9.5</v>
      </c>
    </row>
    <row r="836" spans="1:14" x14ac:dyDescent="0.3">
      <c r="A836" s="5" t="s">
        <v>1423</v>
      </c>
      <c r="B836" s="9" t="s">
        <v>1424</v>
      </c>
      <c r="C836" s="9" t="s">
        <v>234</v>
      </c>
      <c r="D836" s="9" t="s">
        <v>15</v>
      </c>
      <c r="E836" s="9" t="s">
        <v>16</v>
      </c>
      <c r="F836" s="9" t="s">
        <v>35</v>
      </c>
      <c r="G836" s="9" t="s">
        <v>36</v>
      </c>
      <c r="H836" s="5">
        <v>43</v>
      </c>
      <c r="I836" s="6">
        <v>43224</v>
      </c>
      <c r="J836" s="7">
        <v>59888</v>
      </c>
      <c r="K836" s="9" t="s">
        <v>1310</v>
      </c>
      <c r="L836" s="9" t="s">
        <v>1323</v>
      </c>
      <c r="M836">
        <f t="shared" ca="1" si="26"/>
        <v>7</v>
      </c>
      <c r="N836">
        <f t="shared" ca="1" si="27"/>
        <v>4</v>
      </c>
    </row>
    <row r="837" spans="1:14" x14ac:dyDescent="0.3">
      <c r="A837" s="5" t="s">
        <v>1549</v>
      </c>
      <c r="B837" s="9" t="s">
        <v>1550</v>
      </c>
      <c r="C837" s="9" t="s">
        <v>23</v>
      </c>
      <c r="D837" s="9" t="s">
        <v>15</v>
      </c>
      <c r="E837" s="9" t="s">
        <v>16</v>
      </c>
      <c r="F837" s="9" t="s">
        <v>35</v>
      </c>
      <c r="G837" s="9" t="s">
        <v>36</v>
      </c>
      <c r="H837" s="5">
        <v>55</v>
      </c>
      <c r="I837" s="6">
        <v>39154</v>
      </c>
      <c r="J837" s="7">
        <v>184648</v>
      </c>
      <c r="K837" s="9" t="s">
        <v>1310</v>
      </c>
      <c r="L837" s="9" t="s">
        <v>1316</v>
      </c>
      <c r="M837">
        <f t="shared" ca="1" si="26"/>
        <v>18</v>
      </c>
      <c r="N837">
        <f t="shared" ca="1" si="27"/>
        <v>9.5</v>
      </c>
    </row>
    <row r="838" spans="1:14" x14ac:dyDescent="0.3">
      <c r="A838" s="5" t="s">
        <v>74</v>
      </c>
      <c r="B838" s="9" t="s">
        <v>75</v>
      </c>
      <c r="C838" s="9" t="s">
        <v>23</v>
      </c>
      <c r="D838" s="9" t="s">
        <v>15</v>
      </c>
      <c r="E838" s="9" t="s">
        <v>41</v>
      </c>
      <c r="F838" s="9" t="s">
        <v>35</v>
      </c>
      <c r="G838" s="9" t="s">
        <v>26</v>
      </c>
      <c r="H838" s="5">
        <v>64</v>
      </c>
      <c r="I838" s="6">
        <v>41581</v>
      </c>
      <c r="J838" s="7">
        <v>186503</v>
      </c>
      <c r="K838" s="9" t="s">
        <v>19</v>
      </c>
      <c r="L838" s="9" t="s">
        <v>76</v>
      </c>
      <c r="M838">
        <f t="shared" ca="1" si="26"/>
        <v>12</v>
      </c>
      <c r="N838">
        <f t="shared" ca="1" si="27"/>
        <v>8</v>
      </c>
    </row>
    <row r="839" spans="1:14" x14ac:dyDescent="0.3">
      <c r="A839" s="5" t="s">
        <v>956</v>
      </c>
      <c r="B839" s="9" t="s">
        <v>957</v>
      </c>
      <c r="C839" s="9" t="s">
        <v>67</v>
      </c>
      <c r="D839" s="9" t="s">
        <v>15</v>
      </c>
      <c r="E839" s="9" t="s">
        <v>25</v>
      </c>
      <c r="F839" s="9" t="s">
        <v>35</v>
      </c>
      <c r="G839" s="9" t="s">
        <v>18</v>
      </c>
      <c r="H839" s="5">
        <v>59</v>
      </c>
      <c r="I839" s="6">
        <v>40542</v>
      </c>
      <c r="J839" s="7">
        <v>246619</v>
      </c>
      <c r="K839" s="9" t="s">
        <v>19</v>
      </c>
      <c r="L839" s="9" t="s">
        <v>45</v>
      </c>
      <c r="M839">
        <f t="shared" ca="1" si="26"/>
        <v>14</v>
      </c>
      <c r="N839">
        <f t="shared" ca="1" si="27"/>
        <v>8</v>
      </c>
    </row>
    <row r="840" spans="1:14" x14ac:dyDescent="0.3">
      <c r="A840" s="5" t="s">
        <v>437</v>
      </c>
      <c r="B840" s="9" t="s">
        <v>438</v>
      </c>
      <c r="C840" s="9" t="s">
        <v>34</v>
      </c>
      <c r="D840" s="9" t="s">
        <v>50</v>
      </c>
      <c r="E840" s="9" t="s">
        <v>31</v>
      </c>
      <c r="F840" s="9" t="s">
        <v>35</v>
      </c>
      <c r="G840" s="9" t="s">
        <v>18</v>
      </c>
      <c r="H840" s="5">
        <v>51</v>
      </c>
      <c r="I840" s="6">
        <v>44113</v>
      </c>
      <c r="J840" s="7">
        <v>91853</v>
      </c>
      <c r="K840" s="9" t="s">
        <v>19</v>
      </c>
      <c r="L840" s="9" t="s">
        <v>27</v>
      </c>
      <c r="M840">
        <f t="shared" ca="1" si="26"/>
        <v>5</v>
      </c>
      <c r="N840">
        <f t="shared" ca="1" si="27"/>
        <v>3</v>
      </c>
    </row>
    <row r="841" spans="1:14" x14ac:dyDescent="0.3">
      <c r="A841" s="5" t="s">
        <v>413</v>
      </c>
      <c r="B841" s="9" t="s">
        <v>414</v>
      </c>
      <c r="C841" s="9" t="s">
        <v>67</v>
      </c>
      <c r="D841" s="9" t="s">
        <v>79</v>
      </c>
      <c r="E841" s="9" t="s">
        <v>16</v>
      </c>
      <c r="F841" s="9" t="s">
        <v>17</v>
      </c>
      <c r="G841" s="9" t="s">
        <v>73</v>
      </c>
      <c r="H841" s="5">
        <v>42</v>
      </c>
      <c r="I841" s="6">
        <v>41528</v>
      </c>
      <c r="J841" s="7">
        <v>181452</v>
      </c>
      <c r="K841" s="9" t="s">
        <v>19</v>
      </c>
      <c r="L841" s="9" t="s">
        <v>76</v>
      </c>
      <c r="M841">
        <f t="shared" ca="1" si="26"/>
        <v>12</v>
      </c>
      <c r="N841">
        <f t="shared" ca="1" si="27"/>
        <v>8</v>
      </c>
    </row>
    <row r="842" spans="1:14" x14ac:dyDescent="0.3">
      <c r="A842" s="5" t="s">
        <v>757</v>
      </c>
      <c r="B842" s="9" t="s">
        <v>758</v>
      </c>
      <c r="C842" s="9" t="s">
        <v>91</v>
      </c>
      <c r="D842" s="9" t="s">
        <v>79</v>
      </c>
      <c r="E842" s="9" t="s">
        <v>25</v>
      </c>
      <c r="F842" s="9" t="s">
        <v>35</v>
      </c>
      <c r="G842" s="9" t="s">
        <v>36</v>
      </c>
      <c r="H842" s="5">
        <v>55</v>
      </c>
      <c r="I842" s="6">
        <v>44410</v>
      </c>
      <c r="J842" s="7">
        <v>67130</v>
      </c>
      <c r="K842" s="9" t="s">
        <v>19</v>
      </c>
      <c r="L842" s="9" t="s">
        <v>45</v>
      </c>
      <c r="M842">
        <f t="shared" ca="1" si="26"/>
        <v>4</v>
      </c>
      <c r="N842">
        <f t="shared" ca="1" si="27"/>
        <v>3</v>
      </c>
    </row>
    <row r="843" spans="1:14" x14ac:dyDescent="0.3">
      <c r="A843" s="5" t="s">
        <v>273</v>
      </c>
      <c r="B843" s="9" t="s">
        <v>274</v>
      </c>
      <c r="C843" s="9" t="s">
        <v>14</v>
      </c>
      <c r="D843" s="9" t="s">
        <v>24</v>
      </c>
      <c r="E843" s="9" t="s">
        <v>41</v>
      </c>
      <c r="F843" s="9" t="s">
        <v>35</v>
      </c>
      <c r="G843" s="9" t="s">
        <v>73</v>
      </c>
      <c r="H843" s="5">
        <v>45</v>
      </c>
      <c r="I843" s="6">
        <v>44554</v>
      </c>
      <c r="J843" s="7">
        <v>144754</v>
      </c>
      <c r="K843" s="9" t="s">
        <v>19</v>
      </c>
      <c r="L843" s="9" t="s">
        <v>37</v>
      </c>
      <c r="M843">
        <f t="shared" ca="1" si="26"/>
        <v>3</v>
      </c>
      <c r="N843">
        <f t="shared" ca="1" si="27"/>
        <v>3</v>
      </c>
    </row>
    <row r="844" spans="1:14" x14ac:dyDescent="0.3">
      <c r="A844" s="5" t="s">
        <v>220</v>
      </c>
      <c r="B844" s="9" t="s">
        <v>221</v>
      </c>
      <c r="C844" s="9" t="s">
        <v>34</v>
      </c>
      <c r="D844" s="9" t="s">
        <v>68</v>
      </c>
      <c r="E844" s="9" t="s">
        <v>41</v>
      </c>
      <c r="F844" s="9" t="s">
        <v>17</v>
      </c>
      <c r="G844" s="9" t="s">
        <v>73</v>
      </c>
      <c r="H844" s="5">
        <v>42</v>
      </c>
      <c r="I844" s="6">
        <v>44198</v>
      </c>
      <c r="J844" s="7">
        <v>94430</v>
      </c>
      <c r="K844" s="9" t="s">
        <v>19</v>
      </c>
      <c r="L844" s="9" t="s">
        <v>20</v>
      </c>
      <c r="M844">
        <f t="shared" ca="1" si="26"/>
        <v>4</v>
      </c>
      <c r="N844">
        <f t="shared" ca="1" si="27"/>
        <v>3</v>
      </c>
    </row>
    <row r="845" spans="1:14" x14ac:dyDescent="0.3">
      <c r="A845" s="5" t="s">
        <v>220</v>
      </c>
      <c r="B845" s="9" t="s">
        <v>795</v>
      </c>
      <c r="C845" s="9" t="s">
        <v>44</v>
      </c>
      <c r="D845" s="9" t="s">
        <v>50</v>
      </c>
      <c r="E845" s="9" t="s">
        <v>31</v>
      </c>
      <c r="F845" s="9" t="s">
        <v>17</v>
      </c>
      <c r="G845" s="9" t="s">
        <v>36</v>
      </c>
      <c r="H845" s="5">
        <v>40</v>
      </c>
      <c r="I845" s="6">
        <v>43440</v>
      </c>
      <c r="J845" s="7">
        <v>57225</v>
      </c>
      <c r="K845" s="9" t="s">
        <v>19</v>
      </c>
      <c r="L845" s="9" t="s">
        <v>76</v>
      </c>
      <c r="M845">
        <f t="shared" ca="1" si="26"/>
        <v>6</v>
      </c>
      <c r="N845">
        <f t="shared" ca="1" si="27"/>
        <v>4</v>
      </c>
    </row>
    <row r="846" spans="1:14" x14ac:dyDescent="0.3">
      <c r="A846" s="5" t="s">
        <v>837</v>
      </c>
      <c r="B846" s="9" t="s">
        <v>838</v>
      </c>
      <c r="C846" s="9" t="s">
        <v>23</v>
      </c>
      <c r="D846" s="9" t="s">
        <v>68</v>
      </c>
      <c r="E846" s="9" t="s">
        <v>31</v>
      </c>
      <c r="F846" s="9" t="s">
        <v>17</v>
      </c>
      <c r="G846" s="9" t="s">
        <v>18</v>
      </c>
      <c r="H846" s="5">
        <v>45</v>
      </c>
      <c r="I846" s="6">
        <v>39507</v>
      </c>
      <c r="J846" s="7">
        <v>150577</v>
      </c>
      <c r="K846" s="9" t="s">
        <v>19</v>
      </c>
      <c r="L846" s="9" t="s">
        <v>45</v>
      </c>
      <c r="M846">
        <f t="shared" ca="1" si="26"/>
        <v>17</v>
      </c>
      <c r="N846">
        <f t="shared" ca="1" si="27"/>
        <v>8</v>
      </c>
    </row>
    <row r="847" spans="1:14" x14ac:dyDescent="0.3">
      <c r="A847" s="5" t="s">
        <v>1427</v>
      </c>
      <c r="B847" s="9" t="s">
        <v>1428</v>
      </c>
      <c r="C847" s="9" t="s">
        <v>91</v>
      </c>
      <c r="D847" s="9" t="s">
        <v>24</v>
      </c>
      <c r="E847" s="9" t="s">
        <v>41</v>
      </c>
      <c r="F847" s="9" t="s">
        <v>35</v>
      </c>
      <c r="G847" s="9" t="s">
        <v>36</v>
      </c>
      <c r="H847" s="5">
        <v>52</v>
      </c>
      <c r="I847" s="6">
        <v>42992</v>
      </c>
      <c r="J847" s="7">
        <v>74449</v>
      </c>
      <c r="K847" s="9" t="s">
        <v>1310</v>
      </c>
      <c r="L847" s="9" t="s">
        <v>1323</v>
      </c>
      <c r="M847">
        <f t="shared" ca="1" si="26"/>
        <v>8</v>
      </c>
      <c r="N847">
        <f t="shared" ca="1" si="27"/>
        <v>5.5</v>
      </c>
    </row>
    <row r="848" spans="1:14" x14ac:dyDescent="0.3">
      <c r="A848" s="5" t="s">
        <v>941</v>
      </c>
      <c r="B848" s="9" t="s">
        <v>942</v>
      </c>
      <c r="C848" s="9" t="s">
        <v>44</v>
      </c>
      <c r="D848" s="9" t="s">
        <v>50</v>
      </c>
      <c r="E848" s="9" t="s">
        <v>16</v>
      </c>
      <c r="F848" s="9" t="s">
        <v>17</v>
      </c>
      <c r="G848" s="9" t="s">
        <v>36</v>
      </c>
      <c r="H848" s="5">
        <v>54</v>
      </c>
      <c r="I848" s="6">
        <v>39080</v>
      </c>
      <c r="J848" s="7">
        <v>55518</v>
      </c>
      <c r="K848" s="9" t="s">
        <v>19</v>
      </c>
      <c r="L848" s="9" t="s">
        <v>76</v>
      </c>
      <c r="M848">
        <f t="shared" ca="1" si="26"/>
        <v>18</v>
      </c>
      <c r="N848">
        <f t="shared" ca="1" si="27"/>
        <v>9.5</v>
      </c>
    </row>
    <row r="849" spans="1:14" x14ac:dyDescent="0.3">
      <c r="A849" s="5" t="s">
        <v>1328</v>
      </c>
      <c r="B849" s="9" t="s">
        <v>1329</v>
      </c>
      <c r="C849" s="9" t="s">
        <v>59</v>
      </c>
      <c r="D849" s="9" t="s">
        <v>60</v>
      </c>
      <c r="E849" s="9" t="s">
        <v>31</v>
      </c>
      <c r="F849" s="9" t="s">
        <v>17</v>
      </c>
      <c r="G849" s="9" t="s">
        <v>36</v>
      </c>
      <c r="H849" s="5">
        <v>34</v>
      </c>
      <c r="I849" s="6">
        <v>43815</v>
      </c>
      <c r="J849" s="7">
        <v>99989</v>
      </c>
      <c r="K849" s="9" t="s">
        <v>1310</v>
      </c>
      <c r="L849" s="9" t="s">
        <v>1330</v>
      </c>
      <c r="M849">
        <f t="shared" ca="1" si="26"/>
        <v>5</v>
      </c>
      <c r="N849">
        <f t="shared" ca="1" si="27"/>
        <v>3</v>
      </c>
    </row>
    <row r="850" spans="1:14" x14ac:dyDescent="0.3">
      <c r="A850" s="5" t="s">
        <v>1843</v>
      </c>
      <c r="B850" s="9" t="s">
        <v>1844</v>
      </c>
      <c r="C850" s="9" t="s">
        <v>34</v>
      </c>
      <c r="D850" s="9" t="s">
        <v>68</v>
      </c>
      <c r="E850" s="9" t="s">
        <v>16</v>
      </c>
      <c r="F850" s="9" t="s">
        <v>35</v>
      </c>
      <c r="G850" s="9" t="s">
        <v>73</v>
      </c>
      <c r="H850" s="5">
        <v>42</v>
      </c>
      <c r="I850" s="6">
        <v>42101</v>
      </c>
      <c r="J850" s="7">
        <v>99697</v>
      </c>
      <c r="K850" s="9" t="s">
        <v>1717</v>
      </c>
      <c r="L850" s="9" t="s">
        <v>1721</v>
      </c>
      <c r="M850">
        <f t="shared" ca="1" si="26"/>
        <v>10</v>
      </c>
      <c r="N850">
        <f t="shared" ca="1" si="27"/>
        <v>5.5</v>
      </c>
    </row>
    <row r="851" spans="1:14" x14ac:dyDescent="0.3">
      <c r="A851" s="5" t="s">
        <v>1621</v>
      </c>
      <c r="B851" s="9" t="s">
        <v>1622</v>
      </c>
      <c r="C851" s="9" t="s">
        <v>34</v>
      </c>
      <c r="D851" s="9" t="s">
        <v>68</v>
      </c>
      <c r="E851" s="9" t="s">
        <v>31</v>
      </c>
      <c r="F851" s="9" t="s">
        <v>35</v>
      </c>
      <c r="G851" s="9" t="s">
        <v>36</v>
      </c>
      <c r="H851" s="5">
        <v>63</v>
      </c>
      <c r="I851" s="6">
        <v>42778</v>
      </c>
      <c r="J851" s="7">
        <v>77629</v>
      </c>
      <c r="K851" s="9" t="s">
        <v>1310</v>
      </c>
      <c r="L851" s="9" t="s">
        <v>1323</v>
      </c>
      <c r="M851">
        <f t="shared" ca="1" si="26"/>
        <v>8</v>
      </c>
      <c r="N851">
        <f t="shared" ca="1" si="27"/>
        <v>5.5</v>
      </c>
    </row>
    <row r="852" spans="1:14" x14ac:dyDescent="0.3">
      <c r="A852" s="5" t="s">
        <v>1963</v>
      </c>
      <c r="B852" s="9" t="s">
        <v>1964</v>
      </c>
      <c r="C852" s="9" t="s">
        <v>142</v>
      </c>
      <c r="D852" s="9" t="s">
        <v>60</v>
      </c>
      <c r="E852" s="9" t="s">
        <v>25</v>
      </c>
      <c r="F852" s="9" t="s">
        <v>35</v>
      </c>
      <c r="G852" s="9" t="s">
        <v>73</v>
      </c>
      <c r="H852" s="5">
        <v>32</v>
      </c>
      <c r="I852" s="6">
        <v>44478</v>
      </c>
      <c r="J852" s="7">
        <v>102298</v>
      </c>
      <c r="K852" s="9" t="s">
        <v>1717</v>
      </c>
      <c r="L852" s="9" t="s">
        <v>1721</v>
      </c>
      <c r="M852">
        <f t="shared" ca="1" si="26"/>
        <v>4</v>
      </c>
      <c r="N852">
        <f t="shared" ca="1" si="27"/>
        <v>3</v>
      </c>
    </row>
    <row r="853" spans="1:14" x14ac:dyDescent="0.3">
      <c r="A853" s="5" t="s">
        <v>1506</v>
      </c>
      <c r="B853" s="9" t="s">
        <v>1507</v>
      </c>
      <c r="C853" s="9" t="s">
        <v>14</v>
      </c>
      <c r="D853" s="9" t="s">
        <v>68</v>
      </c>
      <c r="E853" s="9" t="s">
        <v>31</v>
      </c>
      <c r="F853" s="9" t="s">
        <v>17</v>
      </c>
      <c r="G853" s="9" t="s">
        <v>36</v>
      </c>
      <c r="H853" s="5">
        <v>25</v>
      </c>
      <c r="I853" s="6">
        <v>44453</v>
      </c>
      <c r="J853" s="7">
        <v>136810</v>
      </c>
      <c r="K853" s="9" t="s">
        <v>1310</v>
      </c>
      <c r="L853" s="9" t="s">
        <v>1311</v>
      </c>
      <c r="M853">
        <f t="shared" ca="1" si="26"/>
        <v>4</v>
      </c>
      <c r="N853">
        <f t="shared" ca="1" si="27"/>
        <v>3</v>
      </c>
    </row>
    <row r="854" spans="1:14" x14ac:dyDescent="0.3">
      <c r="A854" s="5" t="s">
        <v>1790</v>
      </c>
      <c r="B854" s="9" t="s">
        <v>1791</v>
      </c>
      <c r="C854" s="9" t="s">
        <v>184</v>
      </c>
      <c r="D854" s="9" t="s">
        <v>56</v>
      </c>
      <c r="E854" s="9" t="s">
        <v>31</v>
      </c>
      <c r="F854" s="9" t="s">
        <v>35</v>
      </c>
      <c r="G854" s="9" t="s">
        <v>73</v>
      </c>
      <c r="H854" s="5">
        <v>48</v>
      </c>
      <c r="I854" s="6">
        <v>38454</v>
      </c>
      <c r="J854" s="7">
        <v>87158</v>
      </c>
      <c r="K854" s="9" t="s">
        <v>1717</v>
      </c>
      <c r="L854" s="9" t="s">
        <v>1718</v>
      </c>
      <c r="M854">
        <f t="shared" ca="1" si="26"/>
        <v>20</v>
      </c>
      <c r="N854">
        <f t="shared" ca="1" si="27"/>
        <v>9.5</v>
      </c>
    </row>
    <row r="855" spans="1:14" x14ac:dyDescent="0.3">
      <c r="A855" s="5" t="s">
        <v>1827</v>
      </c>
      <c r="B855" s="9" t="s">
        <v>1828</v>
      </c>
      <c r="C855" s="9" t="s">
        <v>40</v>
      </c>
      <c r="D855" s="9" t="s">
        <v>79</v>
      </c>
      <c r="E855" s="9" t="s">
        <v>25</v>
      </c>
      <c r="F855" s="9" t="s">
        <v>17</v>
      </c>
      <c r="G855" s="9" t="s">
        <v>73</v>
      </c>
      <c r="H855" s="5">
        <v>38</v>
      </c>
      <c r="I855" s="6">
        <v>42999</v>
      </c>
      <c r="J855" s="7">
        <v>119647</v>
      </c>
      <c r="K855" s="9" t="s">
        <v>1717</v>
      </c>
      <c r="L855" s="9" t="s">
        <v>1736</v>
      </c>
      <c r="M855">
        <f t="shared" ca="1" si="26"/>
        <v>8</v>
      </c>
      <c r="N855">
        <f t="shared" ca="1" si="27"/>
        <v>5.5</v>
      </c>
    </row>
    <row r="856" spans="1:14" x14ac:dyDescent="0.3">
      <c r="A856" s="5" t="s">
        <v>810</v>
      </c>
      <c r="B856" s="9" t="s">
        <v>811</v>
      </c>
      <c r="C856" s="9" t="s">
        <v>67</v>
      </c>
      <c r="D856" s="9" t="s">
        <v>15</v>
      </c>
      <c r="E856" s="9" t="s">
        <v>16</v>
      </c>
      <c r="F856" s="9" t="s">
        <v>35</v>
      </c>
      <c r="G856" s="9" t="s">
        <v>36</v>
      </c>
      <c r="H856" s="5">
        <v>26</v>
      </c>
      <c r="I856" s="6">
        <v>43960</v>
      </c>
      <c r="J856" s="7">
        <v>256561</v>
      </c>
      <c r="K856" s="9" t="s">
        <v>19</v>
      </c>
      <c r="L856" s="9" t="s">
        <v>51</v>
      </c>
      <c r="M856">
        <f t="shared" ca="1" si="26"/>
        <v>5</v>
      </c>
      <c r="N856">
        <f t="shared" ca="1" si="27"/>
        <v>3</v>
      </c>
    </row>
    <row r="857" spans="1:14" x14ac:dyDescent="0.3">
      <c r="A857" s="5" t="s">
        <v>876</v>
      </c>
      <c r="B857" s="9" t="s">
        <v>877</v>
      </c>
      <c r="C857" s="9" t="s">
        <v>30</v>
      </c>
      <c r="D857" s="9" t="s">
        <v>15</v>
      </c>
      <c r="E857" s="9" t="s">
        <v>16</v>
      </c>
      <c r="F857" s="9" t="s">
        <v>35</v>
      </c>
      <c r="G857" s="9" t="s">
        <v>26</v>
      </c>
      <c r="H857" s="5">
        <v>26</v>
      </c>
      <c r="I857" s="6">
        <v>43656</v>
      </c>
      <c r="J857" s="7">
        <v>69110</v>
      </c>
      <c r="K857" s="9" t="s">
        <v>19</v>
      </c>
      <c r="L857" s="9" t="s">
        <v>27</v>
      </c>
      <c r="M857">
        <f t="shared" ca="1" si="26"/>
        <v>6</v>
      </c>
      <c r="N857">
        <f t="shared" ca="1" si="27"/>
        <v>4</v>
      </c>
    </row>
    <row r="858" spans="1:14" x14ac:dyDescent="0.3">
      <c r="A858" s="5" t="s">
        <v>1639</v>
      </c>
      <c r="B858" s="9" t="s">
        <v>1640</v>
      </c>
      <c r="C858" s="9" t="s">
        <v>253</v>
      </c>
      <c r="D858" s="9" t="s">
        <v>15</v>
      </c>
      <c r="E858" s="9" t="s">
        <v>31</v>
      </c>
      <c r="F858" s="9" t="s">
        <v>17</v>
      </c>
      <c r="G858" s="9" t="s">
        <v>36</v>
      </c>
      <c r="H858" s="5">
        <v>33</v>
      </c>
      <c r="I858" s="6">
        <v>41819</v>
      </c>
      <c r="J858" s="7">
        <v>96366</v>
      </c>
      <c r="K858" s="9" t="s">
        <v>1310</v>
      </c>
      <c r="L858" s="9" t="s">
        <v>1330</v>
      </c>
      <c r="M858">
        <f t="shared" ca="1" si="26"/>
        <v>11</v>
      </c>
      <c r="N858">
        <f t="shared" ca="1" si="27"/>
        <v>5.5</v>
      </c>
    </row>
    <row r="859" spans="1:14" x14ac:dyDescent="0.3">
      <c r="A859" s="5" t="s">
        <v>1501</v>
      </c>
      <c r="B859" s="9" t="s">
        <v>1502</v>
      </c>
      <c r="C859" s="9" t="s">
        <v>23</v>
      </c>
      <c r="D859" s="9" t="s">
        <v>50</v>
      </c>
      <c r="E859" s="9" t="s">
        <v>25</v>
      </c>
      <c r="F859" s="9" t="s">
        <v>17</v>
      </c>
      <c r="G859" s="9" t="s">
        <v>36</v>
      </c>
      <c r="H859" s="5">
        <v>55</v>
      </c>
      <c r="I859" s="6">
        <v>40468</v>
      </c>
      <c r="J859" s="7">
        <v>188727</v>
      </c>
      <c r="K859" s="9" t="s">
        <v>1310</v>
      </c>
      <c r="L859" s="9" t="s">
        <v>1330</v>
      </c>
      <c r="M859">
        <f t="shared" ca="1" si="26"/>
        <v>15</v>
      </c>
      <c r="N859">
        <f t="shared" ca="1" si="27"/>
        <v>8</v>
      </c>
    </row>
    <row r="860" spans="1:14" x14ac:dyDescent="0.3">
      <c r="A860" s="5" t="s">
        <v>124</v>
      </c>
      <c r="B860" s="9" t="s">
        <v>125</v>
      </c>
      <c r="C860" s="9" t="s">
        <v>91</v>
      </c>
      <c r="D860" s="9" t="s">
        <v>68</v>
      </c>
      <c r="E860" s="9" t="s">
        <v>31</v>
      </c>
      <c r="F860" s="9" t="s">
        <v>35</v>
      </c>
      <c r="G860" s="9" t="s">
        <v>73</v>
      </c>
      <c r="H860" s="5">
        <v>35</v>
      </c>
      <c r="I860" s="6">
        <v>40678</v>
      </c>
      <c r="J860" s="7">
        <v>66889</v>
      </c>
      <c r="K860" s="9" t="s">
        <v>19</v>
      </c>
      <c r="L860" s="9" t="s">
        <v>76</v>
      </c>
      <c r="M860">
        <f t="shared" ca="1" si="26"/>
        <v>14</v>
      </c>
      <c r="N860">
        <f t="shared" ca="1" si="27"/>
        <v>8</v>
      </c>
    </row>
    <row r="861" spans="1:14" x14ac:dyDescent="0.3">
      <c r="A861" s="5" t="s">
        <v>1547</v>
      </c>
      <c r="B861" s="9" t="s">
        <v>1548</v>
      </c>
      <c r="C861" s="9" t="s">
        <v>40</v>
      </c>
      <c r="D861" s="9" t="s">
        <v>50</v>
      </c>
      <c r="E861" s="9" t="s">
        <v>41</v>
      </c>
      <c r="F861" s="9" t="s">
        <v>17</v>
      </c>
      <c r="G861" s="9" t="s">
        <v>36</v>
      </c>
      <c r="H861" s="5">
        <v>52</v>
      </c>
      <c r="I861" s="6">
        <v>44519</v>
      </c>
      <c r="J861" s="7">
        <v>111006</v>
      </c>
      <c r="K861" s="9" t="s">
        <v>1310</v>
      </c>
      <c r="L861" s="9" t="s">
        <v>1311</v>
      </c>
      <c r="M861">
        <f t="shared" ca="1" si="26"/>
        <v>4</v>
      </c>
      <c r="N861">
        <f t="shared" ca="1" si="27"/>
        <v>3</v>
      </c>
    </row>
    <row r="862" spans="1:14" x14ac:dyDescent="0.3">
      <c r="A862" s="5" t="s">
        <v>606</v>
      </c>
      <c r="B862" s="9" t="s">
        <v>607</v>
      </c>
      <c r="C862" s="9" t="s">
        <v>211</v>
      </c>
      <c r="D862" s="9" t="s">
        <v>15</v>
      </c>
      <c r="E862" s="9" t="s">
        <v>31</v>
      </c>
      <c r="F862" s="9" t="s">
        <v>17</v>
      </c>
      <c r="G862" s="9" t="s">
        <v>18</v>
      </c>
      <c r="H862" s="5">
        <v>35</v>
      </c>
      <c r="I862" s="6">
        <v>41941</v>
      </c>
      <c r="J862" s="7">
        <v>91592</v>
      </c>
      <c r="K862" s="9" t="s">
        <v>19</v>
      </c>
      <c r="L862" s="9" t="s">
        <v>27</v>
      </c>
      <c r="M862">
        <f t="shared" ca="1" si="26"/>
        <v>11</v>
      </c>
      <c r="N862">
        <f t="shared" ca="1" si="27"/>
        <v>5.5</v>
      </c>
    </row>
    <row r="863" spans="1:14" x14ac:dyDescent="0.3">
      <c r="A863" s="5" t="s">
        <v>902</v>
      </c>
      <c r="B863" s="9" t="s">
        <v>903</v>
      </c>
      <c r="C863" s="9" t="s">
        <v>91</v>
      </c>
      <c r="D863" s="9" t="s">
        <v>24</v>
      </c>
      <c r="E863" s="9" t="s">
        <v>41</v>
      </c>
      <c r="F863" s="9" t="s">
        <v>35</v>
      </c>
      <c r="G863" s="9" t="s">
        <v>26</v>
      </c>
      <c r="H863" s="5">
        <v>60</v>
      </c>
      <c r="I863" s="6">
        <v>39310</v>
      </c>
      <c r="J863" s="7">
        <v>58671</v>
      </c>
      <c r="K863" s="9" t="s">
        <v>19</v>
      </c>
      <c r="L863" s="9" t="s">
        <v>76</v>
      </c>
      <c r="M863">
        <f t="shared" ca="1" si="26"/>
        <v>18</v>
      </c>
      <c r="N863">
        <f t="shared" ca="1" si="27"/>
        <v>9.5</v>
      </c>
    </row>
    <row r="864" spans="1:14" x14ac:dyDescent="0.3">
      <c r="A864" s="5" t="s">
        <v>435</v>
      </c>
      <c r="B864" s="9" t="s">
        <v>436</v>
      </c>
      <c r="C864" s="9" t="s">
        <v>191</v>
      </c>
      <c r="D864" s="9" t="s">
        <v>60</v>
      </c>
      <c r="E864" s="9" t="s">
        <v>16</v>
      </c>
      <c r="F864" s="9" t="s">
        <v>17</v>
      </c>
      <c r="G864" s="9" t="s">
        <v>36</v>
      </c>
      <c r="H864" s="5">
        <v>55</v>
      </c>
      <c r="I864" s="6">
        <v>41525</v>
      </c>
      <c r="J864" s="7">
        <v>73248</v>
      </c>
      <c r="K864" s="9" t="s">
        <v>19</v>
      </c>
      <c r="L864" s="9" t="s">
        <v>76</v>
      </c>
      <c r="M864">
        <f t="shared" ca="1" si="26"/>
        <v>12</v>
      </c>
      <c r="N864">
        <f t="shared" ca="1" si="27"/>
        <v>8</v>
      </c>
    </row>
    <row r="865" spans="1:14" x14ac:dyDescent="0.3">
      <c r="A865" s="5" t="s">
        <v>515</v>
      </c>
      <c r="B865" s="9" t="s">
        <v>516</v>
      </c>
      <c r="C865" s="9" t="s">
        <v>184</v>
      </c>
      <c r="D865" s="9" t="s">
        <v>56</v>
      </c>
      <c r="E865" s="9" t="s">
        <v>25</v>
      </c>
      <c r="F865" s="9" t="s">
        <v>35</v>
      </c>
      <c r="G865" s="9" t="s">
        <v>73</v>
      </c>
      <c r="H865" s="5">
        <v>56</v>
      </c>
      <c r="I865" s="6">
        <v>35816</v>
      </c>
      <c r="J865" s="7">
        <v>72303</v>
      </c>
      <c r="K865" s="9" t="s">
        <v>19</v>
      </c>
      <c r="L865" s="9" t="s">
        <v>37</v>
      </c>
      <c r="M865">
        <f t="shared" ca="1" si="26"/>
        <v>27</v>
      </c>
      <c r="N865">
        <f t="shared" ca="1" si="27"/>
        <v>10</v>
      </c>
    </row>
    <row r="866" spans="1:14" x14ac:dyDescent="0.3">
      <c r="A866" s="5" t="s">
        <v>588</v>
      </c>
      <c r="B866" s="9" t="s">
        <v>589</v>
      </c>
      <c r="C866" s="9" t="s">
        <v>136</v>
      </c>
      <c r="D866" s="9" t="s">
        <v>60</v>
      </c>
      <c r="E866" s="9" t="s">
        <v>31</v>
      </c>
      <c r="F866" s="9" t="s">
        <v>35</v>
      </c>
      <c r="G866" s="9" t="s">
        <v>26</v>
      </c>
      <c r="H866" s="5">
        <v>47</v>
      </c>
      <c r="I866" s="6">
        <v>36893</v>
      </c>
      <c r="J866" s="7">
        <v>120628</v>
      </c>
      <c r="K866" s="9" t="s">
        <v>19</v>
      </c>
      <c r="L866" s="9" t="s">
        <v>27</v>
      </c>
      <c r="M866">
        <f t="shared" ca="1" si="26"/>
        <v>24</v>
      </c>
      <c r="N866">
        <f t="shared" ca="1" si="27"/>
        <v>9.5</v>
      </c>
    </row>
    <row r="867" spans="1:14" x14ac:dyDescent="0.3">
      <c r="A867" s="5" t="s">
        <v>1314</v>
      </c>
      <c r="B867" s="9" t="s">
        <v>1315</v>
      </c>
      <c r="C867" s="9" t="s">
        <v>14</v>
      </c>
      <c r="D867" s="9" t="s">
        <v>24</v>
      </c>
      <c r="E867" s="9" t="s">
        <v>16</v>
      </c>
      <c r="F867" s="9" t="s">
        <v>17</v>
      </c>
      <c r="G867" s="9" t="s">
        <v>36</v>
      </c>
      <c r="H867" s="5">
        <v>51</v>
      </c>
      <c r="I867" s="6">
        <v>44357</v>
      </c>
      <c r="J867" s="7">
        <v>146742</v>
      </c>
      <c r="K867" s="9" t="s">
        <v>1310</v>
      </c>
      <c r="L867" s="9" t="s">
        <v>1316</v>
      </c>
      <c r="M867">
        <f t="shared" ca="1" si="26"/>
        <v>4</v>
      </c>
      <c r="N867">
        <f t="shared" ca="1" si="27"/>
        <v>3</v>
      </c>
    </row>
    <row r="868" spans="1:14" x14ac:dyDescent="0.3">
      <c r="A868" s="5" t="s">
        <v>732</v>
      </c>
      <c r="B868" s="9" t="s">
        <v>733</v>
      </c>
      <c r="C868" s="9" t="s">
        <v>191</v>
      </c>
      <c r="D868" s="9" t="s">
        <v>60</v>
      </c>
      <c r="E868" s="9" t="s">
        <v>25</v>
      </c>
      <c r="F868" s="9" t="s">
        <v>17</v>
      </c>
      <c r="G868" s="9" t="s">
        <v>73</v>
      </c>
      <c r="H868" s="5">
        <v>48</v>
      </c>
      <c r="I868" s="6">
        <v>39991</v>
      </c>
      <c r="J868" s="7">
        <v>82907</v>
      </c>
      <c r="K868" s="9" t="s">
        <v>19</v>
      </c>
      <c r="L868" s="9" t="s">
        <v>20</v>
      </c>
      <c r="M868">
        <f t="shared" ca="1" si="26"/>
        <v>16</v>
      </c>
      <c r="N868">
        <f t="shared" ca="1" si="27"/>
        <v>8</v>
      </c>
    </row>
    <row r="869" spans="1:14" x14ac:dyDescent="0.3">
      <c r="A869" s="5" t="s">
        <v>943</v>
      </c>
      <c r="B869" s="9" t="s">
        <v>944</v>
      </c>
      <c r="C869" s="9" t="s">
        <v>40</v>
      </c>
      <c r="D869" s="9" t="s">
        <v>68</v>
      </c>
      <c r="E869" s="9" t="s">
        <v>16</v>
      </c>
      <c r="F869" s="9" t="s">
        <v>17</v>
      </c>
      <c r="G869" s="9" t="s">
        <v>18</v>
      </c>
      <c r="H869" s="5">
        <v>55</v>
      </c>
      <c r="I869" s="6">
        <v>33958</v>
      </c>
      <c r="J869" s="7">
        <v>113950</v>
      </c>
      <c r="K869" s="9" t="s">
        <v>19</v>
      </c>
      <c r="L869" s="9" t="s">
        <v>45</v>
      </c>
      <c r="M869">
        <f t="shared" ca="1" si="26"/>
        <v>32</v>
      </c>
      <c r="N869">
        <f t="shared" ca="1" si="27"/>
        <v>15</v>
      </c>
    </row>
    <row r="870" spans="1:14" x14ac:dyDescent="0.3">
      <c r="A870" s="5" t="s">
        <v>1067</v>
      </c>
      <c r="B870" s="9" t="s">
        <v>1068</v>
      </c>
      <c r="C870" s="9" t="s">
        <v>67</v>
      </c>
      <c r="D870" s="9" t="s">
        <v>50</v>
      </c>
      <c r="E870" s="9" t="s">
        <v>41</v>
      </c>
      <c r="F870" s="9" t="s">
        <v>17</v>
      </c>
      <c r="G870" s="9" t="s">
        <v>36</v>
      </c>
      <c r="H870" s="5">
        <v>47</v>
      </c>
      <c r="I870" s="6">
        <v>44556</v>
      </c>
      <c r="J870" s="7">
        <v>243568</v>
      </c>
      <c r="K870" s="9" t="s">
        <v>19</v>
      </c>
      <c r="L870" s="9" t="s">
        <v>51</v>
      </c>
      <c r="M870">
        <f t="shared" ca="1" si="26"/>
        <v>3</v>
      </c>
      <c r="N870">
        <f t="shared" ca="1" si="27"/>
        <v>3</v>
      </c>
    </row>
    <row r="871" spans="1:14" x14ac:dyDescent="0.3">
      <c r="A871" s="5" t="s">
        <v>230</v>
      </c>
      <c r="B871" s="9" t="s">
        <v>231</v>
      </c>
      <c r="C871" s="9" t="s">
        <v>136</v>
      </c>
      <c r="D871" s="9" t="s">
        <v>60</v>
      </c>
      <c r="E871" s="9" t="s">
        <v>41</v>
      </c>
      <c r="F871" s="9" t="s">
        <v>17</v>
      </c>
      <c r="G871" s="9" t="s">
        <v>73</v>
      </c>
      <c r="H871" s="5">
        <v>62</v>
      </c>
      <c r="I871" s="6">
        <v>39002</v>
      </c>
      <c r="J871" s="7">
        <v>79785</v>
      </c>
      <c r="K871" s="9" t="s">
        <v>19</v>
      </c>
      <c r="L871" s="9" t="s">
        <v>51</v>
      </c>
      <c r="M871">
        <f t="shared" ca="1" si="26"/>
        <v>19</v>
      </c>
      <c r="N871">
        <f t="shared" ca="1" si="27"/>
        <v>9.5</v>
      </c>
    </row>
    <row r="872" spans="1:14" x14ac:dyDescent="0.3">
      <c r="A872" s="5" t="s">
        <v>226</v>
      </c>
      <c r="B872" s="9" t="s">
        <v>227</v>
      </c>
      <c r="C872" s="9" t="s">
        <v>157</v>
      </c>
      <c r="D872" s="9" t="s">
        <v>15</v>
      </c>
      <c r="E872" s="9" t="s">
        <v>25</v>
      </c>
      <c r="F872" s="9" t="s">
        <v>35</v>
      </c>
      <c r="G872" s="9" t="s">
        <v>18</v>
      </c>
      <c r="H872" s="5">
        <v>28</v>
      </c>
      <c r="I872" s="6">
        <v>43530</v>
      </c>
      <c r="J872" s="7">
        <v>90304</v>
      </c>
      <c r="K872" s="9" t="s">
        <v>19</v>
      </c>
      <c r="L872" s="9" t="s">
        <v>27</v>
      </c>
      <c r="M872">
        <f t="shared" ca="1" si="26"/>
        <v>6</v>
      </c>
      <c r="N872">
        <f t="shared" ca="1" si="27"/>
        <v>4</v>
      </c>
    </row>
    <row r="873" spans="1:14" x14ac:dyDescent="0.3">
      <c r="A873" s="5" t="s">
        <v>1586</v>
      </c>
      <c r="B873" s="9" t="s">
        <v>1587</v>
      </c>
      <c r="C873" s="9" t="s">
        <v>91</v>
      </c>
      <c r="D873" s="9" t="s">
        <v>79</v>
      </c>
      <c r="E873" s="9" t="s">
        <v>25</v>
      </c>
      <c r="F873" s="9" t="s">
        <v>17</v>
      </c>
      <c r="G873" s="9" t="s">
        <v>36</v>
      </c>
      <c r="H873" s="5">
        <v>60</v>
      </c>
      <c r="I873" s="6">
        <v>41647</v>
      </c>
      <c r="J873" s="7">
        <v>51877</v>
      </c>
      <c r="K873" s="9" t="s">
        <v>1310</v>
      </c>
      <c r="L873" s="9" t="s">
        <v>1323</v>
      </c>
      <c r="M873">
        <f t="shared" ca="1" si="26"/>
        <v>11</v>
      </c>
      <c r="N873">
        <f t="shared" ca="1" si="27"/>
        <v>5.5</v>
      </c>
    </row>
    <row r="874" spans="1:14" x14ac:dyDescent="0.3">
      <c r="A874" s="5" t="s">
        <v>99</v>
      </c>
      <c r="B874" s="9" t="s">
        <v>100</v>
      </c>
      <c r="C874" s="9" t="s">
        <v>101</v>
      </c>
      <c r="D874" s="9" t="s">
        <v>15</v>
      </c>
      <c r="E874" s="9" t="s">
        <v>31</v>
      </c>
      <c r="F874" s="9" t="s">
        <v>17</v>
      </c>
      <c r="G874" s="9" t="s">
        <v>73</v>
      </c>
      <c r="H874" s="5">
        <v>35</v>
      </c>
      <c r="I874" s="6">
        <v>41409</v>
      </c>
      <c r="J874" s="7">
        <v>78940</v>
      </c>
      <c r="K874" s="9" t="s">
        <v>19</v>
      </c>
      <c r="L874" s="9" t="s">
        <v>45</v>
      </c>
      <c r="M874">
        <f t="shared" ca="1" si="26"/>
        <v>12</v>
      </c>
      <c r="N874">
        <f t="shared" ca="1" si="27"/>
        <v>8</v>
      </c>
    </row>
    <row r="875" spans="1:14" x14ac:dyDescent="0.3">
      <c r="A875" s="5" t="s">
        <v>318</v>
      </c>
      <c r="B875" s="9" t="s">
        <v>319</v>
      </c>
      <c r="C875" s="9" t="s">
        <v>196</v>
      </c>
      <c r="D875" s="9" t="s">
        <v>60</v>
      </c>
      <c r="E875" s="9" t="s">
        <v>31</v>
      </c>
      <c r="F875" s="9" t="s">
        <v>17</v>
      </c>
      <c r="G875" s="9" t="s">
        <v>26</v>
      </c>
      <c r="H875" s="5">
        <v>25</v>
      </c>
      <c r="I875" s="6">
        <v>43850</v>
      </c>
      <c r="J875" s="7">
        <v>71359</v>
      </c>
      <c r="K875" s="9" t="s">
        <v>19</v>
      </c>
      <c r="L875" s="9" t="s">
        <v>37</v>
      </c>
      <c r="M875">
        <f t="shared" ca="1" si="26"/>
        <v>5</v>
      </c>
      <c r="N875">
        <f t="shared" ca="1" si="27"/>
        <v>3</v>
      </c>
    </row>
    <row r="876" spans="1:14" x14ac:dyDescent="0.3">
      <c r="A876" s="5" t="s">
        <v>503</v>
      </c>
      <c r="B876" s="9" t="s">
        <v>504</v>
      </c>
      <c r="C876" s="9" t="s">
        <v>101</v>
      </c>
      <c r="D876" s="9" t="s">
        <v>15</v>
      </c>
      <c r="E876" s="9" t="s">
        <v>31</v>
      </c>
      <c r="F876" s="9" t="s">
        <v>17</v>
      </c>
      <c r="G876" s="9" t="s">
        <v>73</v>
      </c>
      <c r="H876" s="5">
        <v>25</v>
      </c>
      <c r="I876" s="6">
        <v>44327</v>
      </c>
      <c r="J876" s="7">
        <v>83934</v>
      </c>
      <c r="K876" s="9" t="s">
        <v>19</v>
      </c>
      <c r="L876" s="9" t="s">
        <v>45</v>
      </c>
      <c r="M876">
        <f t="shared" ca="1" si="26"/>
        <v>4</v>
      </c>
      <c r="N876">
        <f t="shared" ca="1" si="27"/>
        <v>3</v>
      </c>
    </row>
    <row r="877" spans="1:14" x14ac:dyDescent="0.3">
      <c r="A877" s="5" t="s">
        <v>929</v>
      </c>
      <c r="B877" s="9" t="s">
        <v>930</v>
      </c>
      <c r="C877" s="9" t="s">
        <v>23</v>
      </c>
      <c r="D877" s="9" t="s">
        <v>56</v>
      </c>
      <c r="E877" s="9" t="s">
        <v>25</v>
      </c>
      <c r="F877" s="9" t="s">
        <v>17</v>
      </c>
      <c r="G877" s="9" t="s">
        <v>26</v>
      </c>
      <c r="H877" s="5">
        <v>41</v>
      </c>
      <c r="I877" s="6">
        <v>40319</v>
      </c>
      <c r="J877" s="7">
        <v>153275</v>
      </c>
      <c r="K877" s="9" t="s">
        <v>19</v>
      </c>
      <c r="L877" s="9" t="s">
        <v>76</v>
      </c>
      <c r="M877">
        <f t="shared" ca="1" si="26"/>
        <v>15</v>
      </c>
      <c r="N877">
        <f t="shared" ca="1" si="27"/>
        <v>8</v>
      </c>
    </row>
    <row r="878" spans="1:14" x14ac:dyDescent="0.3">
      <c r="A878" s="5" t="s">
        <v>600</v>
      </c>
      <c r="B878" s="9" t="s">
        <v>601</v>
      </c>
      <c r="C878" s="9" t="s">
        <v>196</v>
      </c>
      <c r="D878" s="9" t="s">
        <v>60</v>
      </c>
      <c r="E878" s="9" t="s">
        <v>31</v>
      </c>
      <c r="F878" s="9" t="s">
        <v>35</v>
      </c>
      <c r="G878" s="9" t="s">
        <v>73</v>
      </c>
      <c r="H878" s="5">
        <v>35</v>
      </c>
      <c r="I878" s="6">
        <v>42878</v>
      </c>
      <c r="J878" s="7">
        <v>65566</v>
      </c>
      <c r="K878" s="9" t="s">
        <v>19</v>
      </c>
      <c r="L878" s="9" t="s">
        <v>20</v>
      </c>
      <c r="M878">
        <f t="shared" ca="1" si="26"/>
        <v>8</v>
      </c>
      <c r="N878">
        <f t="shared" ca="1" si="27"/>
        <v>5.5</v>
      </c>
    </row>
    <row r="879" spans="1:14" x14ac:dyDescent="0.3">
      <c r="A879" s="5" t="s">
        <v>781</v>
      </c>
      <c r="B879" s="9" t="s">
        <v>782</v>
      </c>
      <c r="C879" s="9" t="s">
        <v>23</v>
      </c>
      <c r="D879" s="9" t="s">
        <v>15</v>
      </c>
      <c r="E879" s="9" t="s">
        <v>31</v>
      </c>
      <c r="F879" s="9" t="s">
        <v>17</v>
      </c>
      <c r="G879" s="9" t="s">
        <v>73</v>
      </c>
      <c r="H879" s="5">
        <v>28</v>
      </c>
      <c r="I879" s="6">
        <v>44221</v>
      </c>
      <c r="J879" s="7">
        <v>160385</v>
      </c>
      <c r="K879" s="9" t="s">
        <v>19</v>
      </c>
      <c r="L879" s="9" t="s">
        <v>45</v>
      </c>
      <c r="M879">
        <f t="shared" ca="1" si="26"/>
        <v>4</v>
      </c>
      <c r="N879">
        <f t="shared" ca="1" si="27"/>
        <v>3</v>
      </c>
    </row>
    <row r="880" spans="1:14" x14ac:dyDescent="0.3">
      <c r="A880" s="5" t="s">
        <v>42</v>
      </c>
      <c r="B880" s="9" t="s">
        <v>419</v>
      </c>
      <c r="C880" s="9" t="s">
        <v>133</v>
      </c>
      <c r="D880" s="9" t="s">
        <v>60</v>
      </c>
      <c r="E880" s="9" t="s">
        <v>25</v>
      </c>
      <c r="F880" s="9" t="s">
        <v>35</v>
      </c>
      <c r="G880" s="9" t="s">
        <v>26</v>
      </c>
      <c r="H880" s="5">
        <v>38</v>
      </c>
      <c r="I880" s="6">
        <v>40360</v>
      </c>
      <c r="J880" s="7">
        <v>78237</v>
      </c>
      <c r="K880" s="9" t="s">
        <v>19</v>
      </c>
      <c r="L880" s="9" t="s">
        <v>37</v>
      </c>
      <c r="M880">
        <f t="shared" ca="1" si="26"/>
        <v>15</v>
      </c>
      <c r="N880">
        <f t="shared" ca="1" si="27"/>
        <v>8</v>
      </c>
    </row>
    <row r="881" spans="1:14" x14ac:dyDescent="0.3">
      <c r="A881" s="5" t="s">
        <v>42</v>
      </c>
      <c r="B881" s="9" t="s">
        <v>43</v>
      </c>
      <c r="C881" s="9" t="s">
        <v>44</v>
      </c>
      <c r="D881" s="9" t="s">
        <v>24</v>
      </c>
      <c r="E881" s="9" t="s">
        <v>31</v>
      </c>
      <c r="F881" s="9" t="s">
        <v>35</v>
      </c>
      <c r="G881" s="9" t="s">
        <v>18</v>
      </c>
      <c r="H881" s="5">
        <v>25</v>
      </c>
      <c r="I881" s="6">
        <v>43967</v>
      </c>
      <c r="J881" s="7">
        <v>41336</v>
      </c>
      <c r="K881" s="9" t="s">
        <v>19</v>
      </c>
      <c r="L881" s="9" t="s">
        <v>45</v>
      </c>
      <c r="M881">
        <f t="shared" ca="1" si="26"/>
        <v>5</v>
      </c>
      <c r="N881">
        <f t="shared" ca="1" si="27"/>
        <v>3</v>
      </c>
    </row>
    <row r="882" spans="1:14" x14ac:dyDescent="0.3">
      <c r="A882" s="5" t="s">
        <v>1216</v>
      </c>
      <c r="B882" s="9" t="s">
        <v>1217</v>
      </c>
      <c r="C882" s="9" t="s">
        <v>34</v>
      </c>
      <c r="D882" s="9" t="s">
        <v>79</v>
      </c>
      <c r="E882" s="9" t="s">
        <v>25</v>
      </c>
      <c r="F882" s="9" t="s">
        <v>35</v>
      </c>
      <c r="G882" s="9" t="s">
        <v>26</v>
      </c>
      <c r="H882" s="5">
        <v>31</v>
      </c>
      <c r="I882" s="6">
        <v>43325</v>
      </c>
      <c r="J882" s="7">
        <v>81828</v>
      </c>
      <c r="K882" s="9" t="s">
        <v>19</v>
      </c>
      <c r="L882" s="9" t="s">
        <v>45</v>
      </c>
      <c r="M882">
        <f t="shared" ca="1" si="26"/>
        <v>7</v>
      </c>
      <c r="N882">
        <f t="shared" ca="1" si="27"/>
        <v>4</v>
      </c>
    </row>
    <row r="883" spans="1:14" x14ac:dyDescent="0.3">
      <c r="A883" s="5" t="s">
        <v>339</v>
      </c>
      <c r="B883" s="9" t="s">
        <v>340</v>
      </c>
      <c r="C883" s="9" t="s">
        <v>67</v>
      </c>
      <c r="D883" s="9" t="s">
        <v>68</v>
      </c>
      <c r="E883" s="9" t="s">
        <v>25</v>
      </c>
      <c r="F883" s="9" t="s">
        <v>17</v>
      </c>
      <c r="G883" s="9" t="s">
        <v>26</v>
      </c>
      <c r="H883" s="5">
        <v>29</v>
      </c>
      <c r="I883" s="6">
        <v>42740</v>
      </c>
      <c r="J883" s="7">
        <v>190401</v>
      </c>
      <c r="K883" s="9" t="s">
        <v>19</v>
      </c>
      <c r="L883" s="9" t="s">
        <v>76</v>
      </c>
      <c r="M883">
        <f t="shared" ca="1" si="26"/>
        <v>8</v>
      </c>
      <c r="N883">
        <f t="shared" ca="1" si="27"/>
        <v>5.5</v>
      </c>
    </row>
    <row r="884" spans="1:14" x14ac:dyDescent="0.3">
      <c r="A884" s="5" t="s">
        <v>626</v>
      </c>
      <c r="B884" s="9" t="s">
        <v>627</v>
      </c>
      <c r="C884" s="9" t="s">
        <v>142</v>
      </c>
      <c r="D884" s="9" t="s">
        <v>60</v>
      </c>
      <c r="E884" s="9" t="s">
        <v>25</v>
      </c>
      <c r="F884" s="9" t="s">
        <v>17</v>
      </c>
      <c r="G884" s="9" t="s">
        <v>26</v>
      </c>
      <c r="H884" s="5">
        <v>64</v>
      </c>
      <c r="I884" s="6">
        <v>34505</v>
      </c>
      <c r="J884" s="7">
        <v>109456</v>
      </c>
      <c r="K884" s="9" t="s">
        <v>19</v>
      </c>
      <c r="L884" s="9" t="s">
        <v>27</v>
      </c>
      <c r="M884">
        <f t="shared" ca="1" si="26"/>
        <v>31</v>
      </c>
      <c r="N884">
        <f t="shared" ca="1" si="27"/>
        <v>15</v>
      </c>
    </row>
    <row r="885" spans="1:14" x14ac:dyDescent="0.3">
      <c r="A885" s="5" t="s">
        <v>433</v>
      </c>
      <c r="B885" s="9" t="s">
        <v>434</v>
      </c>
      <c r="C885" s="9" t="s">
        <v>40</v>
      </c>
      <c r="D885" s="9" t="s">
        <v>56</v>
      </c>
      <c r="E885" s="9" t="s">
        <v>31</v>
      </c>
      <c r="F885" s="9" t="s">
        <v>17</v>
      </c>
      <c r="G885" s="9" t="s">
        <v>26</v>
      </c>
      <c r="H885" s="5">
        <v>31</v>
      </c>
      <c r="I885" s="6">
        <v>44214</v>
      </c>
      <c r="J885" s="7">
        <v>104162</v>
      </c>
      <c r="K885" s="9" t="s">
        <v>19</v>
      </c>
      <c r="L885" s="9" t="s">
        <v>51</v>
      </c>
      <c r="M885">
        <f t="shared" ca="1" si="26"/>
        <v>4</v>
      </c>
      <c r="N885">
        <f t="shared" ca="1" si="27"/>
        <v>3</v>
      </c>
    </row>
    <row r="886" spans="1:14" x14ac:dyDescent="0.3">
      <c r="A886" s="5" t="s">
        <v>1292</v>
      </c>
      <c r="B886" s="9" t="s">
        <v>1293</v>
      </c>
      <c r="C886" s="9" t="s">
        <v>67</v>
      </c>
      <c r="D886" s="9" t="s">
        <v>79</v>
      </c>
      <c r="E886" s="9" t="s">
        <v>31</v>
      </c>
      <c r="F886" s="9" t="s">
        <v>17</v>
      </c>
      <c r="G886" s="9" t="s">
        <v>73</v>
      </c>
      <c r="H886" s="5">
        <v>43</v>
      </c>
      <c r="I886" s="6">
        <v>42603</v>
      </c>
      <c r="J886" s="7">
        <v>258498</v>
      </c>
      <c r="K886" s="9" t="s">
        <v>19</v>
      </c>
      <c r="L886" s="9" t="s">
        <v>76</v>
      </c>
      <c r="M886">
        <f t="shared" ca="1" si="26"/>
        <v>9</v>
      </c>
      <c r="N886">
        <f t="shared" ca="1" si="27"/>
        <v>5.5</v>
      </c>
    </row>
    <row r="887" spans="1:14" x14ac:dyDescent="0.3">
      <c r="A887" s="5" t="s">
        <v>665</v>
      </c>
      <c r="B887" s="9" t="s">
        <v>666</v>
      </c>
      <c r="C887" s="9" t="s">
        <v>139</v>
      </c>
      <c r="D887" s="9" t="s">
        <v>56</v>
      </c>
      <c r="E887" s="9" t="s">
        <v>31</v>
      </c>
      <c r="F887" s="9" t="s">
        <v>35</v>
      </c>
      <c r="G887" s="9" t="s">
        <v>73</v>
      </c>
      <c r="H887" s="5">
        <v>34</v>
      </c>
      <c r="I887" s="6">
        <v>42219</v>
      </c>
      <c r="J887" s="7">
        <v>52200</v>
      </c>
      <c r="K887" s="9" t="s">
        <v>19</v>
      </c>
      <c r="L887" s="9" t="s">
        <v>76</v>
      </c>
      <c r="M887">
        <f t="shared" ca="1" si="26"/>
        <v>10</v>
      </c>
      <c r="N887">
        <f t="shared" ca="1" si="27"/>
        <v>5.5</v>
      </c>
    </row>
    <row r="888" spans="1:14" x14ac:dyDescent="0.3">
      <c r="A888" s="5" t="s">
        <v>361</v>
      </c>
      <c r="B888" s="9" t="s">
        <v>744</v>
      </c>
      <c r="C888" s="9" t="s">
        <v>451</v>
      </c>
      <c r="D888" s="9" t="s">
        <v>15</v>
      </c>
      <c r="E888" s="9" t="s">
        <v>41</v>
      </c>
      <c r="F888" s="9" t="s">
        <v>17</v>
      </c>
      <c r="G888" s="9" t="s">
        <v>73</v>
      </c>
      <c r="H888" s="5">
        <v>59</v>
      </c>
      <c r="I888" s="6">
        <v>41717</v>
      </c>
      <c r="J888" s="7">
        <v>90901</v>
      </c>
      <c r="K888" s="9" t="s">
        <v>19</v>
      </c>
      <c r="L888" s="9" t="s">
        <v>20</v>
      </c>
      <c r="M888">
        <f t="shared" ca="1" si="26"/>
        <v>11</v>
      </c>
      <c r="N888">
        <f t="shared" ca="1" si="27"/>
        <v>5.5</v>
      </c>
    </row>
    <row r="889" spans="1:14" x14ac:dyDescent="0.3">
      <c r="A889" s="5" t="s">
        <v>361</v>
      </c>
      <c r="B889" s="9" t="s">
        <v>362</v>
      </c>
      <c r="C889" s="9" t="s">
        <v>67</v>
      </c>
      <c r="D889" s="9" t="s">
        <v>50</v>
      </c>
      <c r="E889" s="9" t="s">
        <v>31</v>
      </c>
      <c r="F889" s="9" t="s">
        <v>35</v>
      </c>
      <c r="G889" s="9" t="s">
        <v>36</v>
      </c>
      <c r="H889" s="5">
        <v>25</v>
      </c>
      <c r="I889" s="6">
        <v>44235</v>
      </c>
      <c r="J889" s="7">
        <v>198243</v>
      </c>
      <c r="K889" s="9" t="s">
        <v>19</v>
      </c>
      <c r="L889" s="9" t="s">
        <v>45</v>
      </c>
      <c r="M889">
        <f t="shared" ca="1" si="26"/>
        <v>4</v>
      </c>
      <c r="N889">
        <f t="shared" ca="1" si="27"/>
        <v>3</v>
      </c>
    </row>
    <row r="890" spans="1:14" x14ac:dyDescent="0.3">
      <c r="A890" s="5" t="s">
        <v>1071</v>
      </c>
      <c r="B890" s="9" t="s">
        <v>1072</v>
      </c>
      <c r="C890" s="9" t="s">
        <v>23</v>
      </c>
      <c r="D890" s="9" t="s">
        <v>68</v>
      </c>
      <c r="E890" s="9" t="s">
        <v>25</v>
      </c>
      <c r="F890" s="9" t="s">
        <v>17</v>
      </c>
      <c r="G890" s="9" t="s">
        <v>36</v>
      </c>
      <c r="H890" s="5">
        <v>53</v>
      </c>
      <c r="I890" s="6">
        <v>35601</v>
      </c>
      <c r="J890" s="7">
        <v>164399</v>
      </c>
      <c r="K890" s="9" t="s">
        <v>19</v>
      </c>
      <c r="L890" s="9" t="s">
        <v>20</v>
      </c>
      <c r="M890">
        <f t="shared" ca="1" si="26"/>
        <v>28</v>
      </c>
      <c r="N890">
        <f t="shared" ca="1" si="27"/>
        <v>10</v>
      </c>
    </row>
    <row r="891" spans="1:14" x14ac:dyDescent="0.3">
      <c r="A891" s="5" t="s">
        <v>1102</v>
      </c>
      <c r="B891" s="9" t="s">
        <v>1103</v>
      </c>
      <c r="C891" s="9" t="s">
        <v>116</v>
      </c>
      <c r="D891" s="9" t="s">
        <v>60</v>
      </c>
      <c r="E891" s="9" t="s">
        <v>41</v>
      </c>
      <c r="F891" s="9" t="s">
        <v>35</v>
      </c>
      <c r="G891" s="9" t="s">
        <v>26</v>
      </c>
      <c r="H891" s="5">
        <v>27</v>
      </c>
      <c r="I891" s="6">
        <v>43354</v>
      </c>
      <c r="J891" s="7">
        <v>80745</v>
      </c>
      <c r="K891" s="9" t="s">
        <v>19</v>
      </c>
      <c r="L891" s="9" t="s">
        <v>27</v>
      </c>
      <c r="M891">
        <f t="shared" ca="1" si="26"/>
        <v>7</v>
      </c>
      <c r="N891">
        <f t="shared" ca="1" si="27"/>
        <v>4</v>
      </c>
    </row>
    <row r="892" spans="1:14" x14ac:dyDescent="0.3">
      <c r="A892" s="5" t="s">
        <v>483</v>
      </c>
      <c r="B892" s="9" t="s">
        <v>419</v>
      </c>
      <c r="C892" s="9" t="s">
        <v>324</v>
      </c>
      <c r="D892" s="9" t="s">
        <v>15</v>
      </c>
      <c r="E892" s="9" t="s">
        <v>31</v>
      </c>
      <c r="F892" s="9" t="s">
        <v>35</v>
      </c>
      <c r="G892" s="9" t="s">
        <v>18</v>
      </c>
      <c r="H892" s="5">
        <v>31</v>
      </c>
      <c r="I892" s="6">
        <v>42497</v>
      </c>
      <c r="J892" s="7">
        <v>71192</v>
      </c>
      <c r="K892" s="9" t="s">
        <v>19</v>
      </c>
      <c r="L892" s="9" t="s">
        <v>51</v>
      </c>
      <c r="M892">
        <f t="shared" ca="1" si="26"/>
        <v>9</v>
      </c>
      <c r="N892">
        <f t="shared" ca="1" si="27"/>
        <v>5.5</v>
      </c>
    </row>
    <row r="893" spans="1:14" x14ac:dyDescent="0.3">
      <c r="A893" s="5" t="s">
        <v>1748</v>
      </c>
      <c r="B893" s="9" t="s">
        <v>1749</v>
      </c>
      <c r="C893" s="9" t="s">
        <v>34</v>
      </c>
      <c r="D893" s="9" t="s">
        <v>24</v>
      </c>
      <c r="E893" s="9" t="s">
        <v>31</v>
      </c>
      <c r="F893" s="9" t="s">
        <v>17</v>
      </c>
      <c r="G893" s="9" t="s">
        <v>73</v>
      </c>
      <c r="H893" s="5">
        <v>60</v>
      </c>
      <c r="I893" s="6">
        <v>39137</v>
      </c>
      <c r="J893" s="7">
        <v>71699</v>
      </c>
      <c r="K893" s="9" t="s">
        <v>1717</v>
      </c>
      <c r="L893" s="9" t="s">
        <v>1718</v>
      </c>
      <c r="M893">
        <f t="shared" ca="1" si="26"/>
        <v>18</v>
      </c>
      <c r="N893">
        <f t="shared" ca="1" si="27"/>
        <v>9.5</v>
      </c>
    </row>
    <row r="894" spans="1:14" x14ac:dyDescent="0.3">
      <c r="A894" s="5" t="s">
        <v>1136</v>
      </c>
      <c r="B894" s="9" t="s">
        <v>1137</v>
      </c>
      <c r="C894" s="9" t="s">
        <v>40</v>
      </c>
      <c r="D894" s="9" t="s">
        <v>15</v>
      </c>
      <c r="E894" s="9" t="s">
        <v>25</v>
      </c>
      <c r="F894" s="9" t="s">
        <v>17</v>
      </c>
      <c r="G894" s="9" t="s">
        <v>26</v>
      </c>
      <c r="H894" s="5">
        <v>51</v>
      </c>
      <c r="I894" s="6">
        <v>43903</v>
      </c>
      <c r="J894" s="7">
        <v>107195</v>
      </c>
      <c r="K894" s="9" t="s">
        <v>19</v>
      </c>
      <c r="L894" s="9" t="s">
        <v>51</v>
      </c>
      <c r="M894">
        <f t="shared" ca="1" si="26"/>
        <v>5</v>
      </c>
      <c r="N894">
        <f t="shared" ca="1" si="27"/>
        <v>3</v>
      </c>
    </row>
    <row r="895" spans="1:14" x14ac:dyDescent="0.3">
      <c r="A895" s="5" t="s">
        <v>395</v>
      </c>
      <c r="B895" s="9" t="s">
        <v>396</v>
      </c>
      <c r="C895" s="9" t="s">
        <v>139</v>
      </c>
      <c r="D895" s="9" t="s">
        <v>56</v>
      </c>
      <c r="E895" s="9" t="s">
        <v>31</v>
      </c>
      <c r="F895" s="9" t="s">
        <v>35</v>
      </c>
      <c r="G895" s="9" t="s">
        <v>18</v>
      </c>
      <c r="H895" s="5">
        <v>41</v>
      </c>
      <c r="I895" s="6">
        <v>38219</v>
      </c>
      <c r="J895" s="7">
        <v>49186</v>
      </c>
      <c r="K895" s="9" t="s">
        <v>19</v>
      </c>
      <c r="L895" s="9" t="s">
        <v>51</v>
      </c>
      <c r="M895">
        <f t="shared" ca="1" si="26"/>
        <v>21</v>
      </c>
      <c r="N895">
        <f t="shared" ca="1" si="27"/>
        <v>9.5</v>
      </c>
    </row>
    <row r="896" spans="1:14" x14ac:dyDescent="0.3">
      <c r="A896" s="5" t="s">
        <v>535</v>
      </c>
      <c r="B896" s="9" t="s">
        <v>536</v>
      </c>
      <c r="C896" s="9" t="s">
        <v>253</v>
      </c>
      <c r="D896" s="9" t="s">
        <v>15</v>
      </c>
      <c r="E896" s="9" t="s">
        <v>25</v>
      </c>
      <c r="F896" s="9" t="s">
        <v>17</v>
      </c>
      <c r="G896" s="9" t="s">
        <v>26</v>
      </c>
      <c r="H896" s="5">
        <v>59</v>
      </c>
      <c r="I896" s="6">
        <v>43028</v>
      </c>
      <c r="J896" s="7">
        <v>86831</v>
      </c>
      <c r="K896" s="9" t="s">
        <v>19</v>
      </c>
      <c r="L896" s="9" t="s">
        <v>37</v>
      </c>
      <c r="M896">
        <f t="shared" ca="1" si="26"/>
        <v>8</v>
      </c>
      <c r="N896">
        <f t="shared" ca="1" si="27"/>
        <v>5.5</v>
      </c>
    </row>
    <row r="897" spans="1:14" x14ac:dyDescent="0.3">
      <c r="A897" s="5" t="s">
        <v>1304</v>
      </c>
      <c r="B897" s="9" t="s">
        <v>1305</v>
      </c>
      <c r="C897" s="9" t="s">
        <v>23</v>
      </c>
      <c r="D897" s="9" t="s">
        <v>68</v>
      </c>
      <c r="E897" s="9" t="s">
        <v>25</v>
      </c>
      <c r="F897" s="9" t="s">
        <v>35</v>
      </c>
      <c r="G897" s="9" t="s">
        <v>36</v>
      </c>
      <c r="H897" s="5">
        <v>31</v>
      </c>
      <c r="I897" s="6">
        <v>43626</v>
      </c>
      <c r="J897" s="7">
        <v>176710</v>
      </c>
      <c r="K897" s="9" t="s">
        <v>19</v>
      </c>
      <c r="L897" s="9" t="s">
        <v>45</v>
      </c>
      <c r="M897">
        <f t="shared" ca="1" si="26"/>
        <v>6</v>
      </c>
      <c r="N897">
        <f t="shared" ca="1" si="27"/>
        <v>4</v>
      </c>
    </row>
    <row r="898" spans="1:14" x14ac:dyDescent="0.3">
      <c r="A898" s="5" t="s">
        <v>1553</v>
      </c>
      <c r="B898" s="9" t="s">
        <v>1554</v>
      </c>
      <c r="C898" s="9" t="s">
        <v>40</v>
      </c>
      <c r="D898" s="9" t="s">
        <v>50</v>
      </c>
      <c r="E898" s="9" t="s">
        <v>25</v>
      </c>
      <c r="F898" s="9" t="s">
        <v>35</v>
      </c>
      <c r="G898" s="9" t="s">
        <v>36</v>
      </c>
      <c r="H898" s="5">
        <v>34</v>
      </c>
      <c r="I898" s="6">
        <v>40952</v>
      </c>
      <c r="J898" s="7">
        <v>118708</v>
      </c>
      <c r="K898" s="9" t="s">
        <v>1310</v>
      </c>
      <c r="L898" s="9" t="s">
        <v>1316</v>
      </c>
      <c r="M898">
        <f t="shared" ca="1" si="26"/>
        <v>13</v>
      </c>
      <c r="N898">
        <f t="shared" ca="1" si="27"/>
        <v>8</v>
      </c>
    </row>
    <row r="899" spans="1:14" x14ac:dyDescent="0.3">
      <c r="A899" s="5" t="s">
        <v>205</v>
      </c>
      <c r="B899" s="9" t="s">
        <v>206</v>
      </c>
      <c r="C899" s="9" t="s">
        <v>59</v>
      </c>
      <c r="D899" s="9" t="s">
        <v>60</v>
      </c>
      <c r="E899" s="9" t="s">
        <v>31</v>
      </c>
      <c r="F899" s="9" t="s">
        <v>35</v>
      </c>
      <c r="G899" s="9" t="s">
        <v>26</v>
      </c>
      <c r="H899" s="5">
        <v>36</v>
      </c>
      <c r="I899" s="6">
        <v>42706</v>
      </c>
      <c r="J899" s="7">
        <v>113781</v>
      </c>
      <c r="K899" s="9" t="s">
        <v>19</v>
      </c>
      <c r="L899" s="9" t="s">
        <v>76</v>
      </c>
      <c r="M899">
        <f t="shared" ref="M899:M962" ca="1" si="28">DATEDIF(I899,TODAY(),"Y")</f>
        <v>8</v>
      </c>
      <c r="N899">
        <f t="shared" ref="N899:N962" ca="1" si="29">_xlfn.XLOOKUP(M899,$Q$3:$Q$11,$R$3:$R$11,0,-1)</f>
        <v>5.5</v>
      </c>
    </row>
    <row r="900" spans="1:14" x14ac:dyDescent="0.3">
      <c r="A900" s="5" t="s">
        <v>1259</v>
      </c>
      <c r="B900" s="9" t="s">
        <v>1625</v>
      </c>
      <c r="C900" s="9" t="s">
        <v>23</v>
      </c>
      <c r="D900" s="9" t="s">
        <v>50</v>
      </c>
      <c r="E900" s="9" t="s">
        <v>41</v>
      </c>
      <c r="F900" s="9" t="s">
        <v>17</v>
      </c>
      <c r="G900" s="9" t="s">
        <v>36</v>
      </c>
      <c r="H900" s="5">
        <v>60</v>
      </c>
      <c r="I900" s="6">
        <v>38121</v>
      </c>
      <c r="J900" s="7">
        <v>186378</v>
      </c>
      <c r="K900" s="9" t="s">
        <v>1310</v>
      </c>
      <c r="L900" s="9" t="s">
        <v>1311</v>
      </c>
      <c r="M900">
        <f t="shared" ca="1" si="28"/>
        <v>21</v>
      </c>
      <c r="N900">
        <f t="shared" ca="1" si="29"/>
        <v>9.5</v>
      </c>
    </row>
    <row r="901" spans="1:14" x14ac:dyDescent="0.3">
      <c r="A901" s="5" t="s">
        <v>1259</v>
      </c>
      <c r="B901" s="9" t="s">
        <v>1260</v>
      </c>
      <c r="C901" s="9" t="s">
        <v>40</v>
      </c>
      <c r="D901" s="9" t="s">
        <v>24</v>
      </c>
      <c r="E901" s="9" t="s">
        <v>31</v>
      </c>
      <c r="F901" s="9" t="s">
        <v>35</v>
      </c>
      <c r="G901" s="9" t="s">
        <v>36</v>
      </c>
      <c r="H901" s="5">
        <v>52</v>
      </c>
      <c r="I901" s="6">
        <v>36523</v>
      </c>
      <c r="J901" s="7">
        <v>116527</v>
      </c>
      <c r="K901" s="9" t="s">
        <v>19</v>
      </c>
      <c r="L901" s="9" t="s">
        <v>37</v>
      </c>
      <c r="M901">
        <f t="shared" ca="1" si="28"/>
        <v>25</v>
      </c>
      <c r="N901">
        <f t="shared" ca="1" si="29"/>
        <v>10</v>
      </c>
    </row>
    <row r="902" spans="1:14" x14ac:dyDescent="0.3">
      <c r="A902" s="5" t="s">
        <v>769</v>
      </c>
      <c r="B902" s="9" t="s">
        <v>770</v>
      </c>
      <c r="C902" s="9" t="s">
        <v>14</v>
      </c>
      <c r="D902" s="9" t="s">
        <v>56</v>
      </c>
      <c r="E902" s="9" t="s">
        <v>25</v>
      </c>
      <c r="F902" s="9" t="s">
        <v>17</v>
      </c>
      <c r="G902" s="9" t="s">
        <v>73</v>
      </c>
      <c r="H902" s="5">
        <v>45</v>
      </c>
      <c r="I902" s="6">
        <v>40685</v>
      </c>
      <c r="J902" s="7">
        <v>152353</v>
      </c>
      <c r="K902" s="9" t="s">
        <v>19</v>
      </c>
      <c r="L902" s="9" t="s">
        <v>20</v>
      </c>
      <c r="M902">
        <f t="shared" ca="1" si="28"/>
        <v>14</v>
      </c>
      <c r="N902">
        <f t="shared" ca="1" si="29"/>
        <v>8</v>
      </c>
    </row>
    <row r="903" spans="1:14" x14ac:dyDescent="0.3">
      <c r="A903" s="5" t="s">
        <v>466</v>
      </c>
      <c r="B903" s="9" t="s">
        <v>467</v>
      </c>
      <c r="C903" s="9" t="s">
        <v>14</v>
      </c>
      <c r="D903" s="9" t="s">
        <v>79</v>
      </c>
      <c r="E903" s="9" t="s">
        <v>25</v>
      </c>
      <c r="F903" s="9" t="s">
        <v>17</v>
      </c>
      <c r="G903" s="9" t="s">
        <v>36</v>
      </c>
      <c r="H903" s="5">
        <v>30</v>
      </c>
      <c r="I903" s="6">
        <v>42168</v>
      </c>
      <c r="J903" s="7">
        <v>127972</v>
      </c>
      <c r="K903" s="9" t="s">
        <v>19</v>
      </c>
      <c r="L903" s="9" t="s">
        <v>20</v>
      </c>
      <c r="M903">
        <f t="shared" ca="1" si="28"/>
        <v>10</v>
      </c>
      <c r="N903">
        <f t="shared" ca="1" si="29"/>
        <v>5.5</v>
      </c>
    </row>
    <row r="904" spans="1:14" x14ac:dyDescent="0.3">
      <c r="A904" s="5" t="s">
        <v>1021</v>
      </c>
      <c r="B904" s="9" t="s">
        <v>1022</v>
      </c>
      <c r="C904" s="9" t="s">
        <v>88</v>
      </c>
      <c r="D904" s="9" t="s">
        <v>15</v>
      </c>
      <c r="E904" s="9" t="s">
        <v>31</v>
      </c>
      <c r="F904" s="9" t="s">
        <v>17</v>
      </c>
      <c r="G904" s="9" t="s">
        <v>73</v>
      </c>
      <c r="H904" s="5">
        <v>61</v>
      </c>
      <c r="I904" s="6">
        <v>41861</v>
      </c>
      <c r="J904" s="7">
        <v>57446</v>
      </c>
      <c r="K904" s="9" t="s">
        <v>19</v>
      </c>
      <c r="L904" s="9" t="s">
        <v>37</v>
      </c>
      <c r="M904">
        <f t="shared" ca="1" si="28"/>
        <v>11</v>
      </c>
      <c r="N904">
        <f t="shared" ca="1" si="29"/>
        <v>5.5</v>
      </c>
    </row>
    <row r="905" spans="1:14" x14ac:dyDescent="0.3">
      <c r="A905" s="5" t="s">
        <v>1852</v>
      </c>
      <c r="B905" s="9" t="s">
        <v>1853</v>
      </c>
      <c r="C905" s="9" t="s">
        <v>34</v>
      </c>
      <c r="D905" s="9" t="s">
        <v>24</v>
      </c>
      <c r="E905" s="9" t="s">
        <v>41</v>
      </c>
      <c r="F905" s="9" t="s">
        <v>35</v>
      </c>
      <c r="G905" s="9" t="s">
        <v>73</v>
      </c>
      <c r="H905" s="5">
        <v>34</v>
      </c>
      <c r="I905" s="6">
        <v>41886</v>
      </c>
      <c r="J905" s="7">
        <v>95499</v>
      </c>
      <c r="K905" s="9" t="s">
        <v>1717</v>
      </c>
      <c r="L905" s="9" t="s">
        <v>1736</v>
      </c>
      <c r="M905">
        <f t="shared" ca="1" si="28"/>
        <v>11</v>
      </c>
      <c r="N905">
        <f t="shared" ca="1" si="29"/>
        <v>5.5</v>
      </c>
    </row>
    <row r="906" spans="1:14" x14ac:dyDescent="0.3">
      <c r="A906" s="5" t="s">
        <v>1382</v>
      </c>
      <c r="B906" s="9" t="s">
        <v>1383</v>
      </c>
      <c r="C906" s="9" t="s">
        <v>91</v>
      </c>
      <c r="D906" s="9" t="s">
        <v>24</v>
      </c>
      <c r="E906" s="9" t="s">
        <v>16</v>
      </c>
      <c r="F906" s="9" t="s">
        <v>35</v>
      </c>
      <c r="G906" s="9" t="s">
        <v>36</v>
      </c>
      <c r="H906" s="5">
        <v>55</v>
      </c>
      <c r="I906" s="6">
        <v>41714</v>
      </c>
      <c r="J906" s="7">
        <v>74552</v>
      </c>
      <c r="K906" s="9" t="s">
        <v>1310</v>
      </c>
      <c r="L906" s="9" t="s">
        <v>1330</v>
      </c>
      <c r="M906">
        <f t="shared" ca="1" si="28"/>
        <v>11</v>
      </c>
      <c r="N906">
        <f t="shared" ca="1" si="29"/>
        <v>5.5</v>
      </c>
    </row>
    <row r="907" spans="1:14" x14ac:dyDescent="0.3">
      <c r="A907" s="5" t="s">
        <v>249</v>
      </c>
      <c r="B907" s="9" t="s">
        <v>250</v>
      </c>
      <c r="C907" s="9" t="s">
        <v>130</v>
      </c>
      <c r="D907" s="9" t="s">
        <v>60</v>
      </c>
      <c r="E907" s="9" t="s">
        <v>25</v>
      </c>
      <c r="F907" s="9" t="s">
        <v>35</v>
      </c>
      <c r="G907" s="9" t="s">
        <v>26</v>
      </c>
      <c r="H907" s="5">
        <v>30</v>
      </c>
      <c r="I907" s="6">
        <v>44471</v>
      </c>
      <c r="J907" s="7">
        <v>88758</v>
      </c>
      <c r="K907" s="9" t="s">
        <v>19</v>
      </c>
      <c r="L907" s="9" t="s">
        <v>20</v>
      </c>
      <c r="M907">
        <f t="shared" ca="1" si="28"/>
        <v>4</v>
      </c>
      <c r="N907">
        <f t="shared" ca="1" si="29"/>
        <v>3</v>
      </c>
    </row>
    <row r="908" spans="1:14" x14ac:dyDescent="0.3">
      <c r="A908" s="5" t="s">
        <v>1143</v>
      </c>
      <c r="B908" s="9" t="s">
        <v>1144</v>
      </c>
      <c r="C908" s="9" t="s">
        <v>142</v>
      </c>
      <c r="D908" s="9" t="s">
        <v>60</v>
      </c>
      <c r="E908" s="9" t="s">
        <v>16</v>
      </c>
      <c r="F908" s="9" t="s">
        <v>35</v>
      </c>
      <c r="G908" s="9" t="s">
        <v>36</v>
      </c>
      <c r="H908" s="5">
        <v>60</v>
      </c>
      <c r="I908" s="6">
        <v>43146</v>
      </c>
      <c r="J908" s="7">
        <v>106079</v>
      </c>
      <c r="K908" s="9" t="s">
        <v>19</v>
      </c>
      <c r="L908" s="9" t="s">
        <v>51</v>
      </c>
      <c r="M908">
        <f t="shared" ca="1" si="28"/>
        <v>7</v>
      </c>
      <c r="N908">
        <f t="shared" ca="1" si="29"/>
        <v>4</v>
      </c>
    </row>
    <row r="909" spans="1:14" x14ac:dyDescent="0.3">
      <c r="A909" s="5" t="s">
        <v>635</v>
      </c>
      <c r="B909" s="9" t="s">
        <v>636</v>
      </c>
      <c r="C909" s="9" t="s">
        <v>324</v>
      </c>
      <c r="D909" s="9" t="s">
        <v>15</v>
      </c>
      <c r="E909" s="9" t="s">
        <v>41</v>
      </c>
      <c r="F909" s="9" t="s">
        <v>35</v>
      </c>
      <c r="G909" s="9" t="s">
        <v>18</v>
      </c>
      <c r="H909" s="5">
        <v>54</v>
      </c>
      <c r="I909" s="6">
        <v>36617</v>
      </c>
      <c r="J909" s="7">
        <v>76352</v>
      </c>
      <c r="K909" s="9" t="s">
        <v>19</v>
      </c>
      <c r="L909" s="9" t="s">
        <v>51</v>
      </c>
      <c r="M909">
        <f t="shared" ca="1" si="28"/>
        <v>25</v>
      </c>
      <c r="N909">
        <f t="shared" ca="1" si="29"/>
        <v>10</v>
      </c>
    </row>
    <row r="910" spans="1:14" x14ac:dyDescent="0.3">
      <c r="A910" s="5" t="s">
        <v>765</v>
      </c>
      <c r="B910" s="9" t="s">
        <v>766</v>
      </c>
      <c r="C910" s="9" t="s">
        <v>91</v>
      </c>
      <c r="D910" s="9" t="s">
        <v>68</v>
      </c>
      <c r="E910" s="9" t="s">
        <v>31</v>
      </c>
      <c r="F910" s="9" t="s">
        <v>35</v>
      </c>
      <c r="G910" s="9" t="s">
        <v>18</v>
      </c>
      <c r="H910" s="5">
        <v>35</v>
      </c>
      <c r="I910" s="6">
        <v>44015</v>
      </c>
      <c r="J910" s="7">
        <v>51513</v>
      </c>
      <c r="K910" s="9" t="s">
        <v>19</v>
      </c>
      <c r="L910" s="9" t="s">
        <v>76</v>
      </c>
      <c r="M910">
        <f t="shared" ca="1" si="28"/>
        <v>5</v>
      </c>
      <c r="N910">
        <f t="shared" ca="1" si="29"/>
        <v>3</v>
      </c>
    </row>
    <row r="911" spans="1:14" x14ac:dyDescent="0.3">
      <c r="A911" s="5" t="s">
        <v>1339</v>
      </c>
      <c r="B911" s="9" t="s">
        <v>1340</v>
      </c>
      <c r="C911" s="9" t="s">
        <v>191</v>
      </c>
      <c r="D911" s="9" t="s">
        <v>60</v>
      </c>
      <c r="E911" s="9" t="s">
        <v>16</v>
      </c>
      <c r="F911" s="9" t="s">
        <v>17</v>
      </c>
      <c r="G911" s="9" t="s">
        <v>36</v>
      </c>
      <c r="H911" s="5">
        <v>30</v>
      </c>
      <c r="I911" s="6">
        <v>42877</v>
      </c>
      <c r="J911" s="7">
        <v>86858</v>
      </c>
      <c r="K911" s="9" t="s">
        <v>1310</v>
      </c>
      <c r="L911" s="9" t="s">
        <v>1311</v>
      </c>
      <c r="M911">
        <f t="shared" ca="1" si="28"/>
        <v>8</v>
      </c>
      <c r="N911">
        <f t="shared" ca="1" si="29"/>
        <v>5.5</v>
      </c>
    </row>
    <row r="912" spans="1:14" x14ac:dyDescent="0.3">
      <c r="A912" s="5" t="s">
        <v>431</v>
      </c>
      <c r="B912" s="9" t="s">
        <v>432</v>
      </c>
      <c r="C912" s="9" t="s">
        <v>34</v>
      </c>
      <c r="D912" s="9" t="s">
        <v>50</v>
      </c>
      <c r="E912" s="9" t="s">
        <v>25</v>
      </c>
      <c r="F912" s="9" t="s">
        <v>35</v>
      </c>
      <c r="G912" s="9" t="s">
        <v>26</v>
      </c>
      <c r="H912" s="5">
        <v>27</v>
      </c>
      <c r="I912" s="6">
        <v>44482</v>
      </c>
      <c r="J912" s="7">
        <v>74077</v>
      </c>
      <c r="K912" s="9" t="s">
        <v>19</v>
      </c>
      <c r="L912" s="9" t="s">
        <v>20</v>
      </c>
      <c r="M912">
        <f t="shared" ca="1" si="28"/>
        <v>4</v>
      </c>
      <c r="N912">
        <f t="shared" ca="1" si="29"/>
        <v>3</v>
      </c>
    </row>
    <row r="913" spans="1:14" x14ac:dyDescent="0.3">
      <c r="A913" s="5" t="s">
        <v>1010</v>
      </c>
      <c r="B913" s="9" t="s">
        <v>1011</v>
      </c>
      <c r="C913" s="9" t="s">
        <v>116</v>
      </c>
      <c r="D913" s="9" t="s">
        <v>60</v>
      </c>
      <c r="E913" s="9" t="s">
        <v>16</v>
      </c>
      <c r="F913" s="9" t="s">
        <v>17</v>
      </c>
      <c r="G913" s="9" t="s">
        <v>36</v>
      </c>
      <c r="H913" s="5">
        <v>45</v>
      </c>
      <c r="I913" s="6">
        <v>42117</v>
      </c>
      <c r="J913" s="7">
        <v>60017</v>
      </c>
      <c r="K913" s="9" t="s">
        <v>19</v>
      </c>
      <c r="L913" s="9" t="s">
        <v>27</v>
      </c>
      <c r="M913">
        <f t="shared" ca="1" si="28"/>
        <v>10</v>
      </c>
      <c r="N913">
        <f t="shared" ca="1" si="29"/>
        <v>5.5</v>
      </c>
    </row>
    <row r="914" spans="1:14" x14ac:dyDescent="0.3">
      <c r="A914" s="5" t="s">
        <v>1555</v>
      </c>
      <c r="B914" s="9" t="s">
        <v>1556</v>
      </c>
      <c r="C914" s="9" t="s">
        <v>34</v>
      </c>
      <c r="D914" s="9" t="s">
        <v>50</v>
      </c>
      <c r="E914" s="9" t="s">
        <v>25</v>
      </c>
      <c r="F914" s="9" t="s">
        <v>17</v>
      </c>
      <c r="G914" s="9" t="s">
        <v>36</v>
      </c>
      <c r="H914" s="5">
        <v>45</v>
      </c>
      <c r="I914" s="6">
        <v>43999</v>
      </c>
      <c r="J914" s="7">
        <v>89841</v>
      </c>
      <c r="K914" s="9" t="s">
        <v>1310</v>
      </c>
      <c r="L914" s="9" t="s">
        <v>1323</v>
      </c>
      <c r="M914">
        <f t="shared" ca="1" si="28"/>
        <v>5</v>
      </c>
      <c r="N914">
        <f t="shared" ca="1" si="29"/>
        <v>3</v>
      </c>
    </row>
    <row r="915" spans="1:14" x14ac:dyDescent="0.3">
      <c r="A915" s="5" t="s">
        <v>791</v>
      </c>
      <c r="B915" s="9" t="s">
        <v>792</v>
      </c>
      <c r="C915" s="9" t="s">
        <v>157</v>
      </c>
      <c r="D915" s="9" t="s">
        <v>15</v>
      </c>
      <c r="E915" s="9" t="s">
        <v>41</v>
      </c>
      <c r="F915" s="9" t="s">
        <v>35</v>
      </c>
      <c r="G915" s="9" t="s">
        <v>36</v>
      </c>
      <c r="H915" s="5">
        <v>45</v>
      </c>
      <c r="I915" s="6">
        <v>36587</v>
      </c>
      <c r="J915" s="7">
        <v>91276</v>
      </c>
      <c r="K915" s="9" t="s">
        <v>19</v>
      </c>
      <c r="L915" s="9" t="s">
        <v>20</v>
      </c>
      <c r="M915">
        <f t="shared" ca="1" si="28"/>
        <v>25</v>
      </c>
      <c r="N915">
        <f t="shared" ca="1" si="29"/>
        <v>10</v>
      </c>
    </row>
    <row r="916" spans="1:14" x14ac:dyDescent="0.3">
      <c r="A916" s="5" t="s">
        <v>1760</v>
      </c>
      <c r="B916" s="9" t="s">
        <v>1761</v>
      </c>
      <c r="C916" s="9" t="s">
        <v>96</v>
      </c>
      <c r="D916" s="9" t="s">
        <v>15</v>
      </c>
      <c r="E916" s="9" t="s">
        <v>31</v>
      </c>
      <c r="F916" s="9" t="s">
        <v>35</v>
      </c>
      <c r="G916" s="9" t="s">
        <v>73</v>
      </c>
      <c r="H916" s="5">
        <v>47</v>
      </c>
      <c r="I916" s="6">
        <v>36233</v>
      </c>
      <c r="J916" s="7">
        <v>92897</v>
      </c>
      <c r="K916" s="9" t="s">
        <v>1717</v>
      </c>
      <c r="L916" s="9" t="s">
        <v>1736</v>
      </c>
      <c r="M916">
        <f t="shared" ca="1" si="28"/>
        <v>26</v>
      </c>
      <c r="N916">
        <f t="shared" ca="1" si="29"/>
        <v>10</v>
      </c>
    </row>
    <row r="917" spans="1:14" x14ac:dyDescent="0.3">
      <c r="A917" s="5" t="s">
        <v>612</v>
      </c>
      <c r="B917" s="9" t="s">
        <v>613</v>
      </c>
      <c r="C917" s="9" t="s">
        <v>40</v>
      </c>
      <c r="D917" s="9" t="s">
        <v>68</v>
      </c>
      <c r="E917" s="9" t="s">
        <v>25</v>
      </c>
      <c r="F917" s="9" t="s">
        <v>17</v>
      </c>
      <c r="G917" s="9" t="s">
        <v>36</v>
      </c>
      <c r="H917" s="5">
        <v>43</v>
      </c>
      <c r="I917" s="6">
        <v>38879</v>
      </c>
      <c r="J917" s="7">
        <v>117278</v>
      </c>
      <c r="K917" s="9" t="s">
        <v>19</v>
      </c>
      <c r="L917" s="9" t="s">
        <v>45</v>
      </c>
      <c r="M917">
        <f t="shared" ca="1" si="28"/>
        <v>19</v>
      </c>
      <c r="N917">
        <f t="shared" ca="1" si="29"/>
        <v>9.5</v>
      </c>
    </row>
    <row r="918" spans="1:14" x14ac:dyDescent="0.3">
      <c r="A918" s="5" t="s">
        <v>1489</v>
      </c>
      <c r="B918" s="9" t="s">
        <v>1490</v>
      </c>
      <c r="C918" s="9" t="s">
        <v>101</v>
      </c>
      <c r="D918" s="9" t="s">
        <v>15</v>
      </c>
      <c r="E918" s="9" t="s">
        <v>25</v>
      </c>
      <c r="F918" s="9" t="s">
        <v>35</v>
      </c>
      <c r="G918" s="9" t="s">
        <v>36</v>
      </c>
      <c r="H918" s="5">
        <v>42</v>
      </c>
      <c r="I918" s="6">
        <v>41813</v>
      </c>
      <c r="J918" s="7">
        <v>64677</v>
      </c>
      <c r="K918" s="9" t="s">
        <v>1310</v>
      </c>
      <c r="L918" s="9" t="s">
        <v>1311</v>
      </c>
      <c r="M918">
        <f t="shared" ca="1" si="28"/>
        <v>11</v>
      </c>
      <c r="N918">
        <f t="shared" ca="1" si="29"/>
        <v>5.5</v>
      </c>
    </row>
    <row r="919" spans="1:14" x14ac:dyDescent="0.3">
      <c r="A919" s="5" t="s">
        <v>48</v>
      </c>
      <c r="B919" s="9" t="s">
        <v>49</v>
      </c>
      <c r="C919" s="9" t="s">
        <v>40</v>
      </c>
      <c r="D919" s="9" t="s">
        <v>50</v>
      </c>
      <c r="E919" s="9" t="s">
        <v>31</v>
      </c>
      <c r="F919" s="9" t="s">
        <v>35</v>
      </c>
      <c r="G919" s="9" t="s">
        <v>26</v>
      </c>
      <c r="H919" s="5">
        <v>29</v>
      </c>
      <c r="I919" s="6">
        <v>43490</v>
      </c>
      <c r="J919" s="7">
        <v>113527</v>
      </c>
      <c r="K919" s="9" t="s">
        <v>19</v>
      </c>
      <c r="L919" s="9" t="s">
        <v>51</v>
      </c>
      <c r="M919">
        <f t="shared" ca="1" si="28"/>
        <v>6</v>
      </c>
      <c r="N919">
        <f t="shared" ca="1" si="29"/>
        <v>4</v>
      </c>
    </row>
    <row r="920" spans="1:14" x14ac:dyDescent="0.3">
      <c r="A920" s="5" t="s">
        <v>821</v>
      </c>
      <c r="B920" s="9" t="s">
        <v>822</v>
      </c>
      <c r="C920" s="9" t="s">
        <v>211</v>
      </c>
      <c r="D920" s="9" t="s">
        <v>15</v>
      </c>
      <c r="E920" s="9" t="s">
        <v>25</v>
      </c>
      <c r="F920" s="9" t="s">
        <v>17</v>
      </c>
      <c r="G920" s="9" t="s">
        <v>36</v>
      </c>
      <c r="H920" s="5">
        <v>57</v>
      </c>
      <c r="I920" s="6">
        <v>41649</v>
      </c>
      <c r="J920" s="7">
        <v>74854</v>
      </c>
      <c r="K920" s="9" t="s">
        <v>19</v>
      </c>
      <c r="L920" s="9" t="s">
        <v>20</v>
      </c>
      <c r="M920">
        <f t="shared" ca="1" si="28"/>
        <v>11</v>
      </c>
      <c r="N920">
        <f t="shared" ca="1" si="29"/>
        <v>5.5</v>
      </c>
    </row>
    <row r="921" spans="1:14" x14ac:dyDescent="0.3">
      <c r="A921" s="5" t="s">
        <v>771</v>
      </c>
      <c r="B921" s="9" t="s">
        <v>772</v>
      </c>
      <c r="C921" s="9" t="s">
        <v>14</v>
      </c>
      <c r="D921" s="9" t="s">
        <v>50</v>
      </c>
      <c r="E921" s="9" t="s">
        <v>25</v>
      </c>
      <c r="F921" s="9" t="s">
        <v>17</v>
      </c>
      <c r="G921" s="9" t="s">
        <v>26</v>
      </c>
      <c r="H921" s="5">
        <v>48</v>
      </c>
      <c r="I921" s="6">
        <v>40389</v>
      </c>
      <c r="J921" s="7">
        <v>124774</v>
      </c>
      <c r="K921" s="9" t="s">
        <v>19</v>
      </c>
      <c r="L921" s="9" t="s">
        <v>37</v>
      </c>
      <c r="M921">
        <f t="shared" ca="1" si="28"/>
        <v>15</v>
      </c>
      <c r="N921">
        <f t="shared" ca="1" si="29"/>
        <v>8</v>
      </c>
    </row>
    <row r="922" spans="1:14" x14ac:dyDescent="0.3">
      <c r="A922" s="5" t="s">
        <v>1517</v>
      </c>
      <c r="B922" s="9" t="s">
        <v>1518</v>
      </c>
      <c r="C922" s="9" t="s">
        <v>157</v>
      </c>
      <c r="D922" s="9" t="s">
        <v>15</v>
      </c>
      <c r="E922" s="9" t="s">
        <v>41</v>
      </c>
      <c r="F922" s="9" t="s">
        <v>17</v>
      </c>
      <c r="G922" s="9" t="s">
        <v>36</v>
      </c>
      <c r="H922" s="5">
        <v>53</v>
      </c>
      <c r="I922" s="6">
        <v>40744</v>
      </c>
      <c r="J922" s="7">
        <v>86173</v>
      </c>
      <c r="K922" s="9" t="s">
        <v>1310</v>
      </c>
      <c r="L922" s="9" t="s">
        <v>1311</v>
      </c>
      <c r="M922">
        <f t="shared" ca="1" si="28"/>
        <v>14</v>
      </c>
      <c r="N922">
        <f t="shared" ca="1" si="29"/>
        <v>8</v>
      </c>
    </row>
    <row r="923" spans="1:14" x14ac:dyDescent="0.3">
      <c r="A923" s="5" t="s">
        <v>988</v>
      </c>
      <c r="B923" s="9" t="s">
        <v>989</v>
      </c>
      <c r="C923" s="9" t="s">
        <v>40</v>
      </c>
      <c r="D923" s="9" t="s">
        <v>68</v>
      </c>
      <c r="E923" s="9" t="s">
        <v>31</v>
      </c>
      <c r="F923" s="9" t="s">
        <v>17</v>
      </c>
      <c r="G923" s="9" t="s">
        <v>73</v>
      </c>
      <c r="H923" s="5">
        <v>29</v>
      </c>
      <c r="I923" s="6">
        <v>44325</v>
      </c>
      <c r="J923" s="7">
        <v>129541</v>
      </c>
      <c r="K923" s="9" t="s">
        <v>19</v>
      </c>
      <c r="L923" s="9" t="s">
        <v>37</v>
      </c>
      <c r="M923">
        <f t="shared" ca="1" si="28"/>
        <v>4</v>
      </c>
      <c r="N923">
        <f t="shared" ca="1" si="29"/>
        <v>3</v>
      </c>
    </row>
    <row r="924" spans="1:14" x14ac:dyDescent="0.3">
      <c r="A924" s="5" t="s">
        <v>1722</v>
      </c>
      <c r="B924" s="9" t="s">
        <v>1723</v>
      </c>
      <c r="C924" s="9" t="s">
        <v>116</v>
      </c>
      <c r="D924" s="9" t="s">
        <v>60</v>
      </c>
      <c r="E924" s="9" t="s">
        <v>41</v>
      </c>
      <c r="F924" s="9" t="s">
        <v>17</v>
      </c>
      <c r="G924" s="9" t="s">
        <v>73</v>
      </c>
      <c r="H924" s="5">
        <v>56</v>
      </c>
      <c r="I924" s="6">
        <v>38388</v>
      </c>
      <c r="J924" s="7">
        <v>98581</v>
      </c>
      <c r="K924" s="9" t="s">
        <v>1717</v>
      </c>
      <c r="L924" s="9" t="s">
        <v>1721</v>
      </c>
      <c r="M924">
        <f t="shared" ca="1" si="28"/>
        <v>20</v>
      </c>
      <c r="N924">
        <f t="shared" ca="1" si="29"/>
        <v>9.5</v>
      </c>
    </row>
    <row r="925" spans="1:14" x14ac:dyDescent="0.3">
      <c r="A925" s="5" t="s">
        <v>604</v>
      </c>
      <c r="B925" s="9" t="s">
        <v>605</v>
      </c>
      <c r="C925" s="9" t="s">
        <v>157</v>
      </c>
      <c r="D925" s="9" t="s">
        <v>15</v>
      </c>
      <c r="E925" s="9" t="s">
        <v>41</v>
      </c>
      <c r="F925" s="9" t="s">
        <v>17</v>
      </c>
      <c r="G925" s="9" t="s">
        <v>26</v>
      </c>
      <c r="H925" s="5">
        <v>42</v>
      </c>
      <c r="I925" s="6">
        <v>43866</v>
      </c>
      <c r="J925" s="7">
        <v>96636</v>
      </c>
      <c r="K925" s="9" t="s">
        <v>19</v>
      </c>
      <c r="L925" s="9" t="s">
        <v>76</v>
      </c>
      <c r="M925">
        <f t="shared" ca="1" si="28"/>
        <v>5</v>
      </c>
      <c r="N925">
        <f t="shared" ca="1" si="29"/>
        <v>3</v>
      </c>
    </row>
    <row r="926" spans="1:14" x14ac:dyDescent="0.3">
      <c r="A926" s="5" t="s">
        <v>1008</v>
      </c>
      <c r="B926" s="9" t="s">
        <v>1009</v>
      </c>
      <c r="C926" s="9" t="s">
        <v>96</v>
      </c>
      <c r="D926" s="9" t="s">
        <v>15</v>
      </c>
      <c r="E926" s="9" t="s">
        <v>16</v>
      </c>
      <c r="F926" s="9" t="s">
        <v>17</v>
      </c>
      <c r="G926" s="9" t="s">
        <v>26</v>
      </c>
      <c r="H926" s="5">
        <v>49</v>
      </c>
      <c r="I926" s="6">
        <v>41703</v>
      </c>
      <c r="J926" s="7">
        <v>88777</v>
      </c>
      <c r="K926" s="9" t="s">
        <v>19</v>
      </c>
      <c r="L926" s="9" t="s">
        <v>27</v>
      </c>
      <c r="M926">
        <f t="shared" ca="1" si="28"/>
        <v>11</v>
      </c>
      <c r="N926">
        <f t="shared" ca="1" si="29"/>
        <v>5.5</v>
      </c>
    </row>
    <row r="927" spans="1:14" x14ac:dyDescent="0.3">
      <c r="A927" s="5" t="s">
        <v>179</v>
      </c>
      <c r="B927" s="9" t="s">
        <v>1969</v>
      </c>
      <c r="C927" s="9" t="s">
        <v>23</v>
      </c>
      <c r="D927" s="9" t="s">
        <v>56</v>
      </c>
      <c r="E927" s="9" t="s">
        <v>25</v>
      </c>
      <c r="F927" s="9" t="s">
        <v>17</v>
      </c>
      <c r="G927" s="9" t="s">
        <v>73</v>
      </c>
      <c r="H927" s="5">
        <v>52</v>
      </c>
      <c r="I927" s="6">
        <v>34209</v>
      </c>
      <c r="J927" s="7">
        <v>177443</v>
      </c>
      <c r="K927" s="9" t="s">
        <v>1717</v>
      </c>
      <c r="L927" s="9" t="s">
        <v>1736</v>
      </c>
      <c r="M927">
        <f t="shared" ca="1" si="28"/>
        <v>32</v>
      </c>
      <c r="N927">
        <f t="shared" ca="1" si="29"/>
        <v>15</v>
      </c>
    </row>
    <row r="928" spans="1:14" x14ac:dyDescent="0.3">
      <c r="A928" s="5" t="s">
        <v>179</v>
      </c>
      <c r="B928" s="9" t="s">
        <v>180</v>
      </c>
      <c r="C928" s="9" t="s">
        <v>181</v>
      </c>
      <c r="D928" s="9" t="s">
        <v>79</v>
      </c>
      <c r="E928" s="9" t="s">
        <v>31</v>
      </c>
      <c r="F928" s="9" t="s">
        <v>35</v>
      </c>
      <c r="G928" s="9" t="s">
        <v>36</v>
      </c>
      <c r="H928" s="5">
        <v>31</v>
      </c>
      <c r="I928" s="6">
        <v>42938</v>
      </c>
      <c r="J928" s="7">
        <v>55854</v>
      </c>
      <c r="K928" s="9" t="s">
        <v>19</v>
      </c>
      <c r="L928" s="9" t="s">
        <v>51</v>
      </c>
      <c r="M928">
        <f t="shared" ca="1" si="28"/>
        <v>8</v>
      </c>
      <c r="N928">
        <f t="shared" ca="1" si="29"/>
        <v>5.5</v>
      </c>
    </row>
    <row r="929" spans="1:14" x14ac:dyDescent="0.3">
      <c r="A929" s="5" t="s">
        <v>1924</v>
      </c>
      <c r="B929" s="9" t="s">
        <v>1925</v>
      </c>
      <c r="C929" s="9" t="s">
        <v>14</v>
      </c>
      <c r="D929" s="9" t="s">
        <v>56</v>
      </c>
      <c r="E929" s="9" t="s">
        <v>31</v>
      </c>
      <c r="F929" s="9" t="s">
        <v>35</v>
      </c>
      <c r="G929" s="9" t="s">
        <v>73</v>
      </c>
      <c r="H929" s="5">
        <v>41</v>
      </c>
      <c r="I929" s="6">
        <v>42365</v>
      </c>
      <c r="J929" s="7">
        <v>129903</v>
      </c>
      <c r="K929" s="9" t="s">
        <v>1717</v>
      </c>
      <c r="L929" s="9" t="s">
        <v>1736</v>
      </c>
      <c r="M929">
        <f t="shared" ca="1" si="28"/>
        <v>9</v>
      </c>
      <c r="N929">
        <f t="shared" ca="1" si="29"/>
        <v>5.5</v>
      </c>
    </row>
    <row r="930" spans="1:14" x14ac:dyDescent="0.3">
      <c r="A930" s="5" t="s">
        <v>1453</v>
      </c>
      <c r="B930" s="9" t="s">
        <v>1454</v>
      </c>
      <c r="C930" s="9" t="s">
        <v>234</v>
      </c>
      <c r="D930" s="9" t="s">
        <v>15</v>
      </c>
      <c r="E930" s="9" t="s">
        <v>16</v>
      </c>
      <c r="F930" s="9" t="s">
        <v>17</v>
      </c>
      <c r="G930" s="9" t="s">
        <v>36</v>
      </c>
      <c r="H930" s="5">
        <v>28</v>
      </c>
      <c r="I930" s="6">
        <v>43763</v>
      </c>
      <c r="J930" s="7">
        <v>50111</v>
      </c>
      <c r="K930" s="9" t="s">
        <v>1310</v>
      </c>
      <c r="L930" s="9" t="s">
        <v>1330</v>
      </c>
      <c r="M930">
        <f t="shared" ca="1" si="28"/>
        <v>6</v>
      </c>
      <c r="N930">
        <f t="shared" ca="1" si="29"/>
        <v>4</v>
      </c>
    </row>
    <row r="931" spans="1:14" x14ac:dyDescent="0.3">
      <c r="A931" s="5" t="s">
        <v>1350</v>
      </c>
      <c r="B931" s="9" t="s">
        <v>127</v>
      </c>
      <c r="C931" s="9" t="s">
        <v>67</v>
      </c>
      <c r="D931" s="9" t="s">
        <v>24</v>
      </c>
      <c r="E931" s="9" t="s">
        <v>25</v>
      </c>
      <c r="F931" s="9" t="s">
        <v>17</v>
      </c>
      <c r="G931" s="9" t="s">
        <v>36</v>
      </c>
      <c r="H931" s="5">
        <v>54</v>
      </c>
      <c r="I931" s="6">
        <v>40734</v>
      </c>
      <c r="J931" s="7">
        <v>247022</v>
      </c>
      <c r="K931" s="9" t="s">
        <v>1310</v>
      </c>
      <c r="L931" s="9" t="s">
        <v>1323</v>
      </c>
      <c r="M931">
        <f t="shared" ca="1" si="28"/>
        <v>14</v>
      </c>
      <c r="N931">
        <f t="shared" ca="1" si="29"/>
        <v>8</v>
      </c>
    </row>
    <row r="932" spans="1:14" x14ac:dyDescent="0.3">
      <c r="A932" s="5" t="s">
        <v>523</v>
      </c>
      <c r="B932" s="9" t="s">
        <v>524</v>
      </c>
      <c r="C932" s="9" t="s">
        <v>23</v>
      </c>
      <c r="D932" s="9" t="s">
        <v>60</v>
      </c>
      <c r="E932" s="9" t="s">
        <v>41</v>
      </c>
      <c r="F932" s="9" t="s">
        <v>17</v>
      </c>
      <c r="G932" s="9" t="s">
        <v>73</v>
      </c>
      <c r="H932" s="5">
        <v>60</v>
      </c>
      <c r="I932" s="6">
        <v>42739</v>
      </c>
      <c r="J932" s="7">
        <v>178502</v>
      </c>
      <c r="K932" s="9" t="s">
        <v>19</v>
      </c>
      <c r="L932" s="9" t="s">
        <v>51</v>
      </c>
      <c r="M932">
        <f t="shared" ca="1" si="28"/>
        <v>8</v>
      </c>
      <c r="N932">
        <f t="shared" ca="1" si="29"/>
        <v>5.5</v>
      </c>
    </row>
    <row r="933" spans="1:14" x14ac:dyDescent="0.3">
      <c r="A933" s="5" t="s">
        <v>399</v>
      </c>
      <c r="B933" s="9" t="s">
        <v>400</v>
      </c>
      <c r="C933" s="9" t="s">
        <v>23</v>
      </c>
      <c r="D933" s="9" t="s">
        <v>15</v>
      </c>
      <c r="E933" s="9" t="s">
        <v>25</v>
      </c>
      <c r="F933" s="9" t="s">
        <v>17</v>
      </c>
      <c r="G933" s="9" t="s">
        <v>36</v>
      </c>
      <c r="H933" s="5">
        <v>47</v>
      </c>
      <c r="I933" s="6">
        <v>41208</v>
      </c>
      <c r="J933" s="7">
        <v>183156</v>
      </c>
      <c r="K933" s="9" t="s">
        <v>19</v>
      </c>
      <c r="L933" s="9" t="s">
        <v>20</v>
      </c>
      <c r="M933">
        <f t="shared" ca="1" si="28"/>
        <v>13</v>
      </c>
      <c r="N933">
        <f t="shared" ca="1" si="29"/>
        <v>8</v>
      </c>
    </row>
    <row r="934" spans="1:14" x14ac:dyDescent="0.3">
      <c r="A934" s="5" t="s">
        <v>511</v>
      </c>
      <c r="B934" s="9" t="s">
        <v>512</v>
      </c>
      <c r="C934" s="9" t="s">
        <v>121</v>
      </c>
      <c r="D934" s="9" t="s">
        <v>56</v>
      </c>
      <c r="E934" s="9" t="s">
        <v>31</v>
      </c>
      <c r="F934" s="9" t="s">
        <v>35</v>
      </c>
      <c r="G934" s="9" t="s">
        <v>26</v>
      </c>
      <c r="H934" s="5">
        <v>49</v>
      </c>
      <c r="I934" s="6">
        <v>36979</v>
      </c>
      <c r="J934" s="7">
        <v>57606</v>
      </c>
      <c r="K934" s="9" t="s">
        <v>19</v>
      </c>
      <c r="L934" s="9" t="s">
        <v>45</v>
      </c>
      <c r="M934">
        <f t="shared" ca="1" si="28"/>
        <v>24</v>
      </c>
      <c r="N934">
        <f t="shared" ca="1" si="29"/>
        <v>9.5</v>
      </c>
    </row>
    <row r="935" spans="1:14" x14ac:dyDescent="0.3">
      <c r="A935" s="5" t="s">
        <v>1284</v>
      </c>
      <c r="B935" s="9" t="s">
        <v>1285</v>
      </c>
      <c r="C935" s="9" t="s">
        <v>34</v>
      </c>
      <c r="D935" s="9" t="s">
        <v>68</v>
      </c>
      <c r="E935" s="9" t="s">
        <v>25</v>
      </c>
      <c r="F935" s="9" t="s">
        <v>17</v>
      </c>
      <c r="G935" s="9" t="s">
        <v>73</v>
      </c>
      <c r="H935" s="5">
        <v>35</v>
      </c>
      <c r="I935" s="6">
        <v>42745</v>
      </c>
      <c r="J935" s="7">
        <v>80622</v>
      </c>
      <c r="K935" s="9" t="s">
        <v>19</v>
      </c>
      <c r="L935" s="9" t="s">
        <v>51</v>
      </c>
      <c r="M935">
        <f t="shared" ca="1" si="28"/>
        <v>8</v>
      </c>
      <c r="N935">
        <f t="shared" ca="1" si="29"/>
        <v>5.5</v>
      </c>
    </row>
    <row r="936" spans="1:14" x14ac:dyDescent="0.3">
      <c r="A936" s="5" t="s">
        <v>1333</v>
      </c>
      <c r="B936" s="9" t="s">
        <v>1334</v>
      </c>
      <c r="C936" s="9" t="s">
        <v>181</v>
      </c>
      <c r="D936" s="9" t="s">
        <v>79</v>
      </c>
      <c r="E936" s="9" t="s">
        <v>25</v>
      </c>
      <c r="F936" s="9" t="s">
        <v>35</v>
      </c>
      <c r="G936" s="9" t="s">
        <v>36</v>
      </c>
      <c r="H936" s="5">
        <v>37</v>
      </c>
      <c r="I936" s="6">
        <v>41592</v>
      </c>
      <c r="J936" s="7">
        <v>56037</v>
      </c>
      <c r="K936" s="9" t="s">
        <v>1310</v>
      </c>
      <c r="L936" s="9" t="s">
        <v>1316</v>
      </c>
      <c r="M936">
        <f t="shared" ca="1" si="28"/>
        <v>12</v>
      </c>
      <c r="N936">
        <f t="shared" ca="1" si="29"/>
        <v>8</v>
      </c>
    </row>
    <row r="937" spans="1:14" x14ac:dyDescent="0.3">
      <c r="A937" s="5" t="s">
        <v>498</v>
      </c>
      <c r="B937" s="9" t="s">
        <v>499</v>
      </c>
      <c r="C937" s="9" t="s">
        <v>44</v>
      </c>
      <c r="D937" s="9" t="s">
        <v>24</v>
      </c>
      <c r="E937" s="9" t="s">
        <v>41</v>
      </c>
      <c r="F937" s="9" t="s">
        <v>17</v>
      </c>
      <c r="G937" s="9" t="s">
        <v>73</v>
      </c>
      <c r="H937" s="5">
        <v>36</v>
      </c>
      <c r="I937" s="6">
        <v>39994</v>
      </c>
      <c r="J937" s="7">
        <v>43363</v>
      </c>
      <c r="K937" s="9" t="s">
        <v>19</v>
      </c>
      <c r="L937" s="9" t="s">
        <v>51</v>
      </c>
      <c r="M937">
        <f t="shared" ca="1" si="28"/>
        <v>16</v>
      </c>
      <c r="N937">
        <f t="shared" ca="1" si="29"/>
        <v>8</v>
      </c>
    </row>
    <row r="938" spans="1:14" x14ac:dyDescent="0.3">
      <c r="A938" s="5" t="s">
        <v>639</v>
      </c>
      <c r="B938" s="9" t="s">
        <v>640</v>
      </c>
      <c r="C938" s="9" t="s">
        <v>67</v>
      </c>
      <c r="D938" s="9" t="s">
        <v>68</v>
      </c>
      <c r="E938" s="9" t="s">
        <v>41</v>
      </c>
      <c r="F938" s="9" t="s">
        <v>35</v>
      </c>
      <c r="G938" s="9" t="s">
        <v>26</v>
      </c>
      <c r="H938" s="5">
        <v>26</v>
      </c>
      <c r="I938" s="6">
        <v>44101</v>
      </c>
      <c r="J938" s="7">
        <v>223055</v>
      </c>
      <c r="K938" s="9" t="s">
        <v>19</v>
      </c>
      <c r="L938" s="9" t="s">
        <v>76</v>
      </c>
      <c r="M938">
        <f t="shared" ca="1" si="28"/>
        <v>5</v>
      </c>
      <c r="N938">
        <f t="shared" ca="1" si="29"/>
        <v>3</v>
      </c>
    </row>
    <row r="939" spans="1:14" x14ac:dyDescent="0.3">
      <c r="A939" s="5" t="s">
        <v>1388</v>
      </c>
      <c r="B939" s="9" t="s">
        <v>1389</v>
      </c>
      <c r="C939" s="9" t="s">
        <v>101</v>
      </c>
      <c r="D939" s="9" t="s">
        <v>15</v>
      </c>
      <c r="E939" s="9" t="s">
        <v>16</v>
      </c>
      <c r="F939" s="9" t="s">
        <v>35</v>
      </c>
      <c r="G939" s="9" t="s">
        <v>36</v>
      </c>
      <c r="H939" s="5">
        <v>46</v>
      </c>
      <c r="I939" s="6">
        <v>44495</v>
      </c>
      <c r="J939" s="7">
        <v>94790</v>
      </c>
      <c r="K939" s="9" t="s">
        <v>1310</v>
      </c>
      <c r="L939" s="9" t="s">
        <v>1311</v>
      </c>
      <c r="M939">
        <f t="shared" ca="1" si="28"/>
        <v>4</v>
      </c>
      <c r="N939">
        <f t="shared" ca="1" si="29"/>
        <v>3</v>
      </c>
    </row>
    <row r="940" spans="1:14" x14ac:dyDescent="0.3">
      <c r="A940" s="5" t="s">
        <v>1317</v>
      </c>
      <c r="B940" s="9" t="s">
        <v>1318</v>
      </c>
      <c r="C940" s="9" t="s">
        <v>23</v>
      </c>
      <c r="D940" s="9" t="s">
        <v>79</v>
      </c>
      <c r="E940" s="9" t="s">
        <v>16</v>
      </c>
      <c r="F940" s="9" t="s">
        <v>35</v>
      </c>
      <c r="G940" s="9" t="s">
        <v>36</v>
      </c>
      <c r="H940" s="5">
        <v>45</v>
      </c>
      <c r="I940" s="6">
        <v>37446</v>
      </c>
      <c r="J940" s="7">
        <v>166331</v>
      </c>
      <c r="K940" s="9" t="s">
        <v>1310</v>
      </c>
      <c r="L940" s="9" t="s">
        <v>1311</v>
      </c>
      <c r="M940">
        <f t="shared" ca="1" si="28"/>
        <v>23</v>
      </c>
      <c r="N940">
        <f t="shared" ca="1" si="29"/>
        <v>9.5</v>
      </c>
    </row>
    <row r="941" spans="1:14" x14ac:dyDescent="0.3">
      <c r="A941" s="5" t="s">
        <v>287</v>
      </c>
      <c r="B941" s="9" t="s">
        <v>288</v>
      </c>
      <c r="C941" s="9" t="s">
        <v>40</v>
      </c>
      <c r="D941" s="9" t="s">
        <v>68</v>
      </c>
      <c r="E941" s="9" t="s">
        <v>31</v>
      </c>
      <c r="F941" s="9" t="s">
        <v>17</v>
      </c>
      <c r="G941" s="9" t="s">
        <v>26</v>
      </c>
      <c r="H941" s="5">
        <v>59</v>
      </c>
      <c r="I941" s="6">
        <v>39197</v>
      </c>
      <c r="J941" s="7">
        <v>129708</v>
      </c>
      <c r="K941" s="9" t="s">
        <v>19</v>
      </c>
      <c r="L941" s="9" t="s">
        <v>45</v>
      </c>
      <c r="M941">
        <f t="shared" ca="1" si="28"/>
        <v>18</v>
      </c>
      <c r="N941">
        <f t="shared" ca="1" si="29"/>
        <v>9.5</v>
      </c>
    </row>
    <row r="942" spans="1:14" x14ac:dyDescent="0.3">
      <c r="A942" s="5" t="s">
        <v>1662</v>
      </c>
      <c r="B942" s="9" t="s">
        <v>1663</v>
      </c>
      <c r="C942" s="9" t="s">
        <v>181</v>
      </c>
      <c r="D942" s="9" t="s">
        <v>79</v>
      </c>
      <c r="E942" s="9" t="s">
        <v>16</v>
      </c>
      <c r="F942" s="9" t="s">
        <v>17</v>
      </c>
      <c r="G942" s="9" t="s">
        <v>36</v>
      </c>
      <c r="H942" s="5">
        <v>54</v>
      </c>
      <c r="I942" s="6">
        <v>44271</v>
      </c>
      <c r="J942" s="7">
        <v>56239</v>
      </c>
      <c r="K942" s="9" t="s">
        <v>1310</v>
      </c>
      <c r="L942" s="9" t="s">
        <v>1311</v>
      </c>
      <c r="M942">
        <f t="shared" ca="1" si="28"/>
        <v>4</v>
      </c>
      <c r="N942">
        <f t="shared" ca="1" si="29"/>
        <v>3</v>
      </c>
    </row>
    <row r="943" spans="1:14" x14ac:dyDescent="0.3">
      <c r="A943" s="5" t="s">
        <v>1124</v>
      </c>
      <c r="B943" s="9" t="s">
        <v>1125</v>
      </c>
      <c r="C943" s="9" t="s">
        <v>23</v>
      </c>
      <c r="D943" s="9" t="s">
        <v>79</v>
      </c>
      <c r="E943" s="9" t="s">
        <v>41</v>
      </c>
      <c r="F943" s="9" t="s">
        <v>35</v>
      </c>
      <c r="G943" s="9" t="s">
        <v>36</v>
      </c>
      <c r="H943" s="5">
        <v>31</v>
      </c>
      <c r="I943" s="6">
        <v>42184</v>
      </c>
      <c r="J943" s="7">
        <v>191026</v>
      </c>
      <c r="K943" s="9" t="s">
        <v>19</v>
      </c>
      <c r="L943" s="9" t="s">
        <v>76</v>
      </c>
      <c r="M943">
        <f t="shared" ca="1" si="28"/>
        <v>10</v>
      </c>
      <c r="N943">
        <f t="shared" ca="1" si="29"/>
        <v>5.5</v>
      </c>
    </row>
    <row r="944" spans="1:14" x14ac:dyDescent="0.3">
      <c r="A944" s="5" t="s">
        <v>614</v>
      </c>
      <c r="B944" s="9" t="s">
        <v>615</v>
      </c>
      <c r="C944" s="9" t="s">
        <v>324</v>
      </c>
      <c r="D944" s="9" t="s">
        <v>15</v>
      </c>
      <c r="E944" s="9" t="s">
        <v>31</v>
      </c>
      <c r="F944" s="9" t="s">
        <v>17</v>
      </c>
      <c r="G944" s="9" t="s">
        <v>26</v>
      </c>
      <c r="H944" s="5">
        <v>47</v>
      </c>
      <c r="I944" s="6">
        <v>43309</v>
      </c>
      <c r="J944" s="7">
        <v>87806</v>
      </c>
      <c r="K944" s="9" t="s">
        <v>19</v>
      </c>
      <c r="L944" s="9" t="s">
        <v>20</v>
      </c>
      <c r="M944">
        <f t="shared" ca="1" si="28"/>
        <v>7</v>
      </c>
      <c r="N944">
        <f t="shared" ca="1" si="29"/>
        <v>4</v>
      </c>
    </row>
    <row r="945" spans="1:14" x14ac:dyDescent="0.3">
      <c r="A945" s="5" t="s">
        <v>846</v>
      </c>
      <c r="B945" s="9" t="s">
        <v>847</v>
      </c>
      <c r="C945" s="9" t="s">
        <v>23</v>
      </c>
      <c r="D945" s="9" t="s">
        <v>60</v>
      </c>
      <c r="E945" s="9" t="s">
        <v>25</v>
      </c>
      <c r="F945" s="9" t="s">
        <v>17</v>
      </c>
      <c r="G945" s="9" t="s">
        <v>18</v>
      </c>
      <c r="H945" s="5">
        <v>45</v>
      </c>
      <c r="I945" s="6">
        <v>43212</v>
      </c>
      <c r="J945" s="7">
        <v>187205</v>
      </c>
      <c r="K945" s="9" t="s">
        <v>19</v>
      </c>
      <c r="L945" s="9" t="s">
        <v>76</v>
      </c>
      <c r="M945">
        <f t="shared" ca="1" si="28"/>
        <v>7</v>
      </c>
      <c r="N945">
        <f t="shared" ca="1" si="29"/>
        <v>4</v>
      </c>
    </row>
    <row r="946" spans="1:14" x14ac:dyDescent="0.3">
      <c r="A946" s="5" t="s">
        <v>608</v>
      </c>
      <c r="B946" s="9" t="s">
        <v>609</v>
      </c>
      <c r="C946" s="9" t="s">
        <v>67</v>
      </c>
      <c r="D946" s="9" t="s">
        <v>68</v>
      </c>
      <c r="E946" s="9" t="s">
        <v>41</v>
      </c>
      <c r="F946" s="9" t="s">
        <v>35</v>
      </c>
      <c r="G946" s="9" t="s">
        <v>36</v>
      </c>
      <c r="H946" s="5">
        <v>57</v>
      </c>
      <c r="I946" s="6">
        <v>42951</v>
      </c>
      <c r="J946" s="7">
        <v>183190</v>
      </c>
      <c r="K946" s="9" t="s">
        <v>19</v>
      </c>
      <c r="L946" s="9" t="s">
        <v>27</v>
      </c>
      <c r="M946">
        <f t="shared" ca="1" si="28"/>
        <v>8</v>
      </c>
      <c r="N946">
        <f t="shared" ca="1" si="29"/>
        <v>5.5</v>
      </c>
    </row>
    <row r="947" spans="1:14" x14ac:dyDescent="0.3">
      <c r="A947" s="5" t="s">
        <v>667</v>
      </c>
      <c r="B947" s="9" t="s">
        <v>668</v>
      </c>
      <c r="C947" s="9" t="s">
        <v>14</v>
      </c>
      <c r="D947" s="9" t="s">
        <v>56</v>
      </c>
      <c r="E947" s="9" t="s">
        <v>41</v>
      </c>
      <c r="F947" s="9" t="s">
        <v>17</v>
      </c>
      <c r="G947" s="9" t="s">
        <v>26</v>
      </c>
      <c r="H947" s="5">
        <v>60</v>
      </c>
      <c r="I947" s="6">
        <v>39739</v>
      </c>
      <c r="J947" s="7">
        <v>150855</v>
      </c>
      <c r="K947" s="9" t="s">
        <v>19</v>
      </c>
      <c r="L947" s="9" t="s">
        <v>37</v>
      </c>
      <c r="M947">
        <f t="shared" ca="1" si="28"/>
        <v>17</v>
      </c>
      <c r="N947">
        <f t="shared" ca="1" si="29"/>
        <v>8</v>
      </c>
    </row>
    <row r="948" spans="1:14" x14ac:dyDescent="0.3">
      <c r="A948" s="5" t="s">
        <v>1688</v>
      </c>
      <c r="B948" s="9" t="s">
        <v>1689</v>
      </c>
      <c r="C948" s="9" t="s">
        <v>577</v>
      </c>
      <c r="D948" s="9" t="s">
        <v>15</v>
      </c>
      <c r="E948" s="9" t="s">
        <v>25</v>
      </c>
      <c r="F948" s="9" t="s">
        <v>35</v>
      </c>
      <c r="G948" s="9" t="s">
        <v>36</v>
      </c>
      <c r="H948" s="5">
        <v>34</v>
      </c>
      <c r="I948" s="6">
        <v>43728</v>
      </c>
      <c r="J948" s="7">
        <v>94735</v>
      </c>
      <c r="K948" s="9" t="s">
        <v>1310</v>
      </c>
      <c r="L948" s="9" t="s">
        <v>1323</v>
      </c>
      <c r="M948">
        <f t="shared" ca="1" si="28"/>
        <v>6</v>
      </c>
      <c r="N948">
        <f t="shared" ca="1" si="29"/>
        <v>4</v>
      </c>
    </row>
    <row r="949" spans="1:14" x14ac:dyDescent="0.3">
      <c r="A949" s="5" t="s">
        <v>1379</v>
      </c>
      <c r="B949" s="9" t="s">
        <v>1380</v>
      </c>
      <c r="C949" s="9" t="s">
        <v>40</v>
      </c>
      <c r="D949" s="9" t="s">
        <v>56</v>
      </c>
      <c r="E949" s="9" t="s">
        <v>31</v>
      </c>
      <c r="F949" s="9" t="s">
        <v>35</v>
      </c>
      <c r="G949" s="9" t="s">
        <v>36</v>
      </c>
      <c r="H949" s="5">
        <v>55</v>
      </c>
      <c r="I949" s="6">
        <v>35019</v>
      </c>
      <c r="J949" s="7">
        <v>125936</v>
      </c>
      <c r="K949" s="9" t="s">
        <v>1310</v>
      </c>
      <c r="L949" s="9" t="s">
        <v>1311</v>
      </c>
      <c r="M949">
        <f t="shared" ca="1" si="28"/>
        <v>30</v>
      </c>
      <c r="N949">
        <f t="shared" ca="1" si="29"/>
        <v>15</v>
      </c>
    </row>
    <row r="950" spans="1:14" x14ac:dyDescent="0.3">
      <c r="A950" s="5" t="s">
        <v>1914</v>
      </c>
      <c r="B950" s="9" t="s">
        <v>1915</v>
      </c>
      <c r="C950" s="9" t="s">
        <v>23</v>
      </c>
      <c r="D950" s="9" t="s">
        <v>60</v>
      </c>
      <c r="E950" s="9" t="s">
        <v>25</v>
      </c>
      <c r="F950" s="9" t="s">
        <v>35</v>
      </c>
      <c r="G950" s="9" t="s">
        <v>73</v>
      </c>
      <c r="H950" s="5">
        <v>40</v>
      </c>
      <c r="I950" s="6">
        <v>43868</v>
      </c>
      <c r="J950" s="7">
        <v>187187</v>
      </c>
      <c r="K950" s="9" t="s">
        <v>1717</v>
      </c>
      <c r="L950" s="9" t="s">
        <v>1718</v>
      </c>
      <c r="M950">
        <f t="shared" ca="1" si="28"/>
        <v>5</v>
      </c>
      <c r="N950">
        <f t="shared" ca="1" si="29"/>
        <v>3</v>
      </c>
    </row>
    <row r="951" spans="1:14" x14ac:dyDescent="0.3">
      <c r="A951" s="5" t="s">
        <v>1096</v>
      </c>
      <c r="B951" s="9" t="s">
        <v>1097</v>
      </c>
      <c r="C951" s="9" t="s">
        <v>96</v>
      </c>
      <c r="D951" s="9" t="s">
        <v>15</v>
      </c>
      <c r="E951" s="9" t="s">
        <v>25</v>
      </c>
      <c r="F951" s="9" t="s">
        <v>17</v>
      </c>
      <c r="G951" s="9" t="s">
        <v>26</v>
      </c>
      <c r="H951" s="5">
        <v>61</v>
      </c>
      <c r="I951" s="6">
        <v>38392</v>
      </c>
      <c r="J951" s="7">
        <v>64462</v>
      </c>
      <c r="K951" s="9" t="s">
        <v>19</v>
      </c>
      <c r="L951" s="9" t="s">
        <v>27</v>
      </c>
      <c r="M951">
        <f t="shared" ca="1" si="28"/>
        <v>20</v>
      </c>
      <c r="N951">
        <f t="shared" ca="1" si="29"/>
        <v>9.5</v>
      </c>
    </row>
    <row r="952" spans="1:14" x14ac:dyDescent="0.3">
      <c r="A952" s="5" t="s">
        <v>1617</v>
      </c>
      <c r="B952" s="9" t="s">
        <v>1618</v>
      </c>
      <c r="C952" s="9" t="s">
        <v>196</v>
      </c>
      <c r="D952" s="9" t="s">
        <v>60</v>
      </c>
      <c r="E952" s="9" t="s">
        <v>25</v>
      </c>
      <c r="F952" s="9" t="s">
        <v>17</v>
      </c>
      <c r="G952" s="9" t="s">
        <v>36</v>
      </c>
      <c r="H952" s="5">
        <v>48</v>
      </c>
      <c r="I952" s="6">
        <v>41032</v>
      </c>
      <c r="J952" s="7">
        <v>65340</v>
      </c>
      <c r="K952" s="9" t="s">
        <v>1310</v>
      </c>
      <c r="L952" s="9" t="s">
        <v>1316</v>
      </c>
      <c r="M952">
        <f t="shared" ca="1" si="28"/>
        <v>13</v>
      </c>
      <c r="N952">
        <f t="shared" ca="1" si="29"/>
        <v>8</v>
      </c>
    </row>
    <row r="953" spans="1:14" x14ac:dyDescent="0.3">
      <c r="A953" s="5" t="s">
        <v>890</v>
      </c>
      <c r="B953" s="9" t="s">
        <v>891</v>
      </c>
      <c r="C953" s="9" t="s">
        <v>59</v>
      </c>
      <c r="D953" s="9" t="s">
        <v>60</v>
      </c>
      <c r="E953" s="9" t="s">
        <v>41</v>
      </c>
      <c r="F953" s="9" t="s">
        <v>35</v>
      </c>
      <c r="G953" s="9" t="s">
        <v>36</v>
      </c>
      <c r="H953" s="5">
        <v>28</v>
      </c>
      <c r="I953" s="6">
        <v>44548</v>
      </c>
      <c r="J953" s="7">
        <v>95670</v>
      </c>
      <c r="K953" s="9" t="s">
        <v>19</v>
      </c>
      <c r="L953" s="9" t="s">
        <v>37</v>
      </c>
      <c r="M953">
        <f t="shared" ca="1" si="28"/>
        <v>3</v>
      </c>
      <c r="N953">
        <f t="shared" ca="1" si="29"/>
        <v>3</v>
      </c>
    </row>
    <row r="954" spans="1:14" x14ac:dyDescent="0.3">
      <c r="A954" s="5" t="s">
        <v>1477</v>
      </c>
      <c r="B954" s="9" t="s">
        <v>1478</v>
      </c>
      <c r="C954" s="9" t="s">
        <v>67</v>
      </c>
      <c r="D954" s="9" t="s">
        <v>79</v>
      </c>
      <c r="E954" s="9" t="s">
        <v>16</v>
      </c>
      <c r="F954" s="9" t="s">
        <v>35</v>
      </c>
      <c r="G954" s="9" t="s">
        <v>36</v>
      </c>
      <c r="H954" s="5">
        <v>56</v>
      </c>
      <c r="I954" s="6">
        <v>38042</v>
      </c>
      <c r="J954" s="7">
        <v>216949</v>
      </c>
      <c r="K954" s="9" t="s">
        <v>1310</v>
      </c>
      <c r="L954" s="9" t="s">
        <v>1316</v>
      </c>
      <c r="M954">
        <f t="shared" ca="1" si="28"/>
        <v>21</v>
      </c>
      <c r="N954">
        <f t="shared" ca="1" si="29"/>
        <v>9.5</v>
      </c>
    </row>
    <row r="955" spans="1:14" x14ac:dyDescent="0.3">
      <c r="A955" s="5" t="s">
        <v>77</v>
      </c>
      <c r="B955" s="9" t="s">
        <v>999</v>
      </c>
      <c r="C955" s="9" t="s">
        <v>178</v>
      </c>
      <c r="D955" s="9" t="s">
        <v>15</v>
      </c>
      <c r="E955" s="9" t="s">
        <v>16</v>
      </c>
      <c r="F955" s="9" t="s">
        <v>35</v>
      </c>
      <c r="G955" s="9" t="s">
        <v>73</v>
      </c>
      <c r="H955" s="5">
        <v>48</v>
      </c>
      <c r="I955" s="6">
        <v>38560</v>
      </c>
      <c r="J955" s="7">
        <v>68987</v>
      </c>
      <c r="K955" s="9" t="s">
        <v>19</v>
      </c>
      <c r="L955" s="9" t="s">
        <v>27</v>
      </c>
      <c r="M955">
        <f t="shared" ca="1" si="28"/>
        <v>20</v>
      </c>
      <c r="N955">
        <f t="shared" ca="1" si="29"/>
        <v>9.5</v>
      </c>
    </row>
    <row r="956" spans="1:14" x14ac:dyDescent="0.3">
      <c r="A956" s="5" t="s">
        <v>77</v>
      </c>
      <c r="B956" s="9" t="s">
        <v>78</v>
      </c>
      <c r="C956" s="9" t="s">
        <v>23</v>
      </c>
      <c r="D956" s="9" t="s">
        <v>79</v>
      </c>
      <c r="E956" s="9" t="s">
        <v>31</v>
      </c>
      <c r="F956" s="9" t="s">
        <v>17</v>
      </c>
      <c r="G956" s="9" t="s">
        <v>73</v>
      </c>
      <c r="H956" s="5">
        <v>36</v>
      </c>
      <c r="I956" s="6">
        <v>44288</v>
      </c>
      <c r="J956" s="7">
        <v>151703</v>
      </c>
      <c r="K956" s="9" t="s">
        <v>19</v>
      </c>
      <c r="L956" s="9" t="s">
        <v>45</v>
      </c>
      <c r="M956">
        <f t="shared" ca="1" si="28"/>
        <v>4</v>
      </c>
      <c r="N956">
        <f t="shared" ca="1" si="29"/>
        <v>3</v>
      </c>
    </row>
    <row r="957" spans="1:14" x14ac:dyDescent="0.3">
      <c r="A957" s="5" t="s">
        <v>209</v>
      </c>
      <c r="B957" s="9" t="s">
        <v>210</v>
      </c>
      <c r="C957" s="9" t="s">
        <v>211</v>
      </c>
      <c r="D957" s="9" t="s">
        <v>15</v>
      </c>
      <c r="E957" s="9" t="s">
        <v>31</v>
      </c>
      <c r="F957" s="9" t="s">
        <v>17</v>
      </c>
      <c r="G957" s="9" t="s">
        <v>26</v>
      </c>
      <c r="H957" s="5">
        <v>44</v>
      </c>
      <c r="I957" s="6">
        <v>39064</v>
      </c>
      <c r="J957" s="7">
        <v>74738</v>
      </c>
      <c r="K957" s="9" t="s">
        <v>19</v>
      </c>
      <c r="L957" s="9" t="s">
        <v>45</v>
      </c>
      <c r="M957">
        <f t="shared" ca="1" si="28"/>
        <v>18</v>
      </c>
      <c r="N957">
        <f t="shared" ca="1" si="29"/>
        <v>9.5</v>
      </c>
    </row>
    <row r="958" spans="1:14" x14ac:dyDescent="0.3">
      <c r="A958" s="5" t="s">
        <v>833</v>
      </c>
      <c r="B958" s="9" t="s">
        <v>834</v>
      </c>
      <c r="C958" s="9" t="s">
        <v>44</v>
      </c>
      <c r="D958" s="9" t="s">
        <v>68</v>
      </c>
      <c r="E958" s="9" t="s">
        <v>16</v>
      </c>
      <c r="F958" s="9" t="s">
        <v>17</v>
      </c>
      <c r="G958" s="9" t="s">
        <v>18</v>
      </c>
      <c r="H958" s="5">
        <v>65</v>
      </c>
      <c r="I958" s="6">
        <v>40711</v>
      </c>
      <c r="J958" s="7">
        <v>56686</v>
      </c>
      <c r="K958" s="9" t="s">
        <v>19</v>
      </c>
      <c r="L958" s="9" t="s">
        <v>20</v>
      </c>
      <c r="M958">
        <f t="shared" ca="1" si="28"/>
        <v>14</v>
      </c>
      <c r="N958">
        <f t="shared" ca="1" si="29"/>
        <v>8</v>
      </c>
    </row>
    <row r="959" spans="1:14" x14ac:dyDescent="0.3">
      <c r="A959" s="5" t="s">
        <v>1776</v>
      </c>
      <c r="B959" s="9" t="s">
        <v>1777</v>
      </c>
      <c r="C959" s="9" t="s">
        <v>67</v>
      </c>
      <c r="D959" s="9" t="s">
        <v>50</v>
      </c>
      <c r="E959" s="9" t="s">
        <v>41</v>
      </c>
      <c r="F959" s="9" t="s">
        <v>17</v>
      </c>
      <c r="G959" s="9" t="s">
        <v>73</v>
      </c>
      <c r="H959" s="5">
        <v>33</v>
      </c>
      <c r="I959" s="6">
        <v>44181</v>
      </c>
      <c r="J959" s="7">
        <v>258426</v>
      </c>
      <c r="K959" s="9" t="s">
        <v>1717</v>
      </c>
      <c r="L959" s="9" t="s">
        <v>1721</v>
      </c>
      <c r="M959">
        <f t="shared" ca="1" si="28"/>
        <v>4</v>
      </c>
      <c r="N959">
        <f t="shared" ca="1" si="29"/>
        <v>3</v>
      </c>
    </row>
    <row r="960" spans="1:14" x14ac:dyDescent="0.3">
      <c r="A960" s="5" t="s">
        <v>550</v>
      </c>
      <c r="B960" s="9" t="s">
        <v>551</v>
      </c>
      <c r="C960" s="9" t="s">
        <v>14</v>
      </c>
      <c r="D960" s="9" t="s">
        <v>24</v>
      </c>
      <c r="E960" s="9" t="s">
        <v>41</v>
      </c>
      <c r="F960" s="9" t="s">
        <v>17</v>
      </c>
      <c r="G960" s="9" t="s">
        <v>36</v>
      </c>
      <c r="H960" s="5">
        <v>41</v>
      </c>
      <c r="I960" s="6">
        <v>38060</v>
      </c>
      <c r="J960" s="7">
        <v>155004</v>
      </c>
      <c r="K960" s="9" t="s">
        <v>19</v>
      </c>
      <c r="L960" s="9" t="s">
        <v>51</v>
      </c>
      <c r="M960">
        <f t="shared" ca="1" si="28"/>
        <v>21</v>
      </c>
      <c r="N960">
        <f t="shared" ca="1" si="29"/>
        <v>9.5</v>
      </c>
    </row>
    <row r="961" spans="1:14" x14ac:dyDescent="0.3">
      <c r="A961" s="5" t="s">
        <v>1128</v>
      </c>
      <c r="B961" s="9" t="s">
        <v>1129</v>
      </c>
      <c r="C961" s="9" t="s">
        <v>136</v>
      </c>
      <c r="D961" s="9" t="s">
        <v>60</v>
      </c>
      <c r="E961" s="9" t="s">
        <v>25</v>
      </c>
      <c r="F961" s="9" t="s">
        <v>35</v>
      </c>
      <c r="G961" s="9" t="s">
        <v>26</v>
      </c>
      <c r="H961" s="5">
        <v>54</v>
      </c>
      <c r="I961" s="6">
        <v>40517</v>
      </c>
      <c r="J961" s="7">
        <v>113982</v>
      </c>
      <c r="K961" s="9" t="s">
        <v>19</v>
      </c>
      <c r="L961" s="9" t="s">
        <v>20</v>
      </c>
      <c r="M961">
        <f t="shared" ca="1" si="28"/>
        <v>14</v>
      </c>
      <c r="N961">
        <f t="shared" ca="1" si="29"/>
        <v>8</v>
      </c>
    </row>
    <row r="962" spans="1:14" x14ac:dyDescent="0.3">
      <c r="A962" s="5" t="s">
        <v>721</v>
      </c>
      <c r="B962" s="9" t="s">
        <v>722</v>
      </c>
      <c r="C962" s="9" t="s">
        <v>157</v>
      </c>
      <c r="D962" s="9" t="s">
        <v>15</v>
      </c>
      <c r="E962" s="9" t="s">
        <v>41</v>
      </c>
      <c r="F962" s="9" t="s">
        <v>35</v>
      </c>
      <c r="G962" s="9" t="s">
        <v>36</v>
      </c>
      <c r="H962" s="5">
        <v>55</v>
      </c>
      <c r="I962" s="6">
        <v>34692</v>
      </c>
      <c r="J962" s="7">
        <v>99774</v>
      </c>
      <c r="K962" s="9" t="s">
        <v>19</v>
      </c>
      <c r="L962" s="9" t="s">
        <v>51</v>
      </c>
      <c r="M962">
        <f t="shared" ca="1" si="28"/>
        <v>30</v>
      </c>
      <c r="N962">
        <f t="shared" ca="1" si="29"/>
        <v>15</v>
      </c>
    </row>
    <row r="963" spans="1:14" x14ac:dyDescent="0.3">
      <c r="A963" s="5" t="s">
        <v>1298</v>
      </c>
      <c r="B963" s="9" t="s">
        <v>1299</v>
      </c>
      <c r="C963" s="9" t="s">
        <v>23</v>
      </c>
      <c r="D963" s="9" t="s">
        <v>15</v>
      </c>
      <c r="E963" s="9" t="s">
        <v>31</v>
      </c>
      <c r="F963" s="9" t="s">
        <v>17</v>
      </c>
      <c r="G963" s="9" t="s">
        <v>26</v>
      </c>
      <c r="H963" s="5">
        <v>46</v>
      </c>
      <c r="I963" s="6">
        <v>43379</v>
      </c>
      <c r="J963" s="7">
        <v>166259</v>
      </c>
      <c r="K963" s="9" t="s">
        <v>19</v>
      </c>
      <c r="L963" s="9" t="s">
        <v>27</v>
      </c>
      <c r="M963">
        <f t="shared" ref="M963:M1001" ca="1" si="30">DATEDIF(I963,TODAY(),"Y")</f>
        <v>7</v>
      </c>
      <c r="N963">
        <f t="shared" ref="N963:N1001" ca="1" si="31">_xlfn.XLOOKUP(M963,$Q$3:$Q$11,$R$3:$R$11,0,-1)</f>
        <v>4</v>
      </c>
    </row>
    <row r="964" spans="1:14" x14ac:dyDescent="0.3">
      <c r="A964" s="5" t="s">
        <v>963</v>
      </c>
      <c r="B964" s="9" t="s">
        <v>964</v>
      </c>
      <c r="C964" s="9" t="s">
        <v>67</v>
      </c>
      <c r="D964" s="9" t="s">
        <v>50</v>
      </c>
      <c r="E964" s="9" t="s">
        <v>31</v>
      </c>
      <c r="F964" s="9" t="s">
        <v>17</v>
      </c>
      <c r="G964" s="9" t="s">
        <v>36</v>
      </c>
      <c r="H964" s="5">
        <v>38</v>
      </c>
      <c r="I964" s="6">
        <v>41256</v>
      </c>
      <c r="J964" s="7">
        <v>191571</v>
      </c>
      <c r="K964" s="9" t="s">
        <v>19</v>
      </c>
      <c r="L964" s="9" t="s">
        <v>51</v>
      </c>
      <c r="M964">
        <f t="shared" ca="1" si="30"/>
        <v>12</v>
      </c>
      <c r="N964">
        <f t="shared" ca="1" si="31"/>
        <v>8</v>
      </c>
    </row>
    <row r="965" spans="1:14" x14ac:dyDescent="0.3">
      <c r="A965" s="5" t="s">
        <v>1362</v>
      </c>
      <c r="B965" s="9" t="s">
        <v>1363</v>
      </c>
      <c r="C965" s="9" t="s">
        <v>34</v>
      </c>
      <c r="D965" s="9" t="s">
        <v>68</v>
      </c>
      <c r="E965" s="9" t="s">
        <v>41</v>
      </c>
      <c r="F965" s="9" t="s">
        <v>17</v>
      </c>
      <c r="G965" s="9" t="s">
        <v>36</v>
      </c>
      <c r="H965" s="5">
        <v>39</v>
      </c>
      <c r="I965" s="6">
        <v>39391</v>
      </c>
      <c r="J965" s="7">
        <v>99017</v>
      </c>
      <c r="K965" s="9" t="s">
        <v>1310</v>
      </c>
      <c r="L965" s="9" t="s">
        <v>1323</v>
      </c>
      <c r="M965">
        <f t="shared" ca="1" si="30"/>
        <v>18</v>
      </c>
      <c r="N965">
        <f t="shared" ca="1" si="31"/>
        <v>9.5</v>
      </c>
    </row>
    <row r="966" spans="1:14" x14ac:dyDescent="0.3">
      <c r="A966" s="5" t="s">
        <v>473</v>
      </c>
      <c r="B966" s="9" t="s">
        <v>474</v>
      </c>
      <c r="C966" s="9" t="s">
        <v>67</v>
      </c>
      <c r="D966" s="9" t="s">
        <v>60</v>
      </c>
      <c r="E966" s="9" t="s">
        <v>31</v>
      </c>
      <c r="F966" s="9" t="s">
        <v>35</v>
      </c>
      <c r="G966" s="9" t="s">
        <v>26</v>
      </c>
      <c r="H966" s="5">
        <v>63</v>
      </c>
      <c r="I966" s="6">
        <v>42387</v>
      </c>
      <c r="J966" s="7">
        <v>180994</v>
      </c>
      <c r="K966" s="9" t="s">
        <v>19</v>
      </c>
      <c r="L966" s="9" t="s">
        <v>20</v>
      </c>
      <c r="M966">
        <f t="shared" ca="1" si="30"/>
        <v>9</v>
      </c>
      <c r="N966">
        <f t="shared" ca="1" si="31"/>
        <v>5.5</v>
      </c>
    </row>
    <row r="967" spans="1:14" x14ac:dyDescent="0.3">
      <c r="A967" s="5" t="s">
        <v>1526</v>
      </c>
      <c r="B967" s="9" t="s">
        <v>1527</v>
      </c>
      <c r="C967" s="9" t="s">
        <v>101</v>
      </c>
      <c r="D967" s="9" t="s">
        <v>15</v>
      </c>
      <c r="E967" s="9" t="s">
        <v>16</v>
      </c>
      <c r="F967" s="9" t="s">
        <v>35</v>
      </c>
      <c r="G967" s="9" t="s">
        <v>36</v>
      </c>
      <c r="H967" s="5">
        <v>37</v>
      </c>
      <c r="I967" s="6">
        <v>42405</v>
      </c>
      <c r="J967" s="7">
        <v>80055</v>
      </c>
      <c r="K967" s="9" t="s">
        <v>1310</v>
      </c>
      <c r="L967" s="9" t="s">
        <v>1323</v>
      </c>
      <c r="M967">
        <f t="shared" ca="1" si="30"/>
        <v>9</v>
      </c>
      <c r="N967">
        <f t="shared" ca="1" si="31"/>
        <v>5.5</v>
      </c>
    </row>
    <row r="968" spans="1:14" x14ac:dyDescent="0.3">
      <c r="A968" s="5" t="s">
        <v>717</v>
      </c>
      <c r="B968" s="9" t="s">
        <v>718</v>
      </c>
      <c r="C968" s="9" t="s">
        <v>67</v>
      </c>
      <c r="D968" s="9" t="s">
        <v>56</v>
      </c>
      <c r="E968" s="9" t="s">
        <v>41</v>
      </c>
      <c r="F968" s="9" t="s">
        <v>17</v>
      </c>
      <c r="G968" s="9" t="s">
        <v>18</v>
      </c>
      <c r="H968" s="5">
        <v>28</v>
      </c>
      <c r="I968" s="6">
        <v>43121</v>
      </c>
      <c r="J968" s="7">
        <v>208210</v>
      </c>
      <c r="K968" s="9" t="s">
        <v>19</v>
      </c>
      <c r="L968" s="9" t="s">
        <v>20</v>
      </c>
      <c r="M968">
        <f t="shared" ca="1" si="30"/>
        <v>7</v>
      </c>
      <c r="N968">
        <f t="shared" ca="1" si="31"/>
        <v>4</v>
      </c>
    </row>
    <row r="969" spans="1:14" x14ac:dyDescent="0.3">
      <c r="A969" s="5" t="s">
        <v>151</v>
      </c>
      <c r="B969" s="9" t="s">
        <v>152</v>
      </c>
      <c r="C969" s="9" t="s">
        <v>40</v>
      </c>
      <c r="D969" s="9" t="s">
        <v>68</v>
      </c>
      <c r="E969" s="9" t="s">
        <v>16</v>
      </c>
      <c r="F969" s="9" t="s">
        <v>17</v>
      </c>
      <c r="G969" s="9" t="s">
        <v>36</v>
      </c>
      <c r="H969" s="5">
        <v>30</v>
      </c>
      <c r="I969" s="6">
        <v>42484</v>
      </c>
      <c r="J969" s="7">
        <v>120341</v>
      </c>
      <c r="K969" s="9" t="s">
        <v>19</v>
      </c>
      <c r="L969" s="9" t="s">
        <v>20</v>
      </c>
      <c r="M969">
        <f t="shared" ca="1" si="30"/>
        <v>9</v>
      </c>
      <c r="N969">
        <f t="shared" ca="1" si="31"/>
        <v>5.5</v>
      </c>
    </row>
    <row r="970" spans="1:14" x14ac:dyDescent="0.3">
      <c r="A970" s="5" t="s">
        <v>755</v>
      </c>
      <c r="B970" s="9" t="s">
        <v>756</v>
      </c>
      <c r="C970" s="9" t="s">
        <v>184</v>
      </c>
      <c r="D970" s="9" t="s">
        <v>56</v>
      </c>
      <c r="E970" s="9" t="s">
        <v>41</v>
      </c>
      <c r="F970" s="9" t="s">
        <v>17</v>
      </c>
      <c r="G970" s="9" t="s">
        <v>26</v>
      </c>
      <c r="H970" s="5">
        <v>30</v>
      </c>
      <c r="I970" s="6">
        <v>42761</v>
      </c>
      <c r="J970" s="7">
        <v>88663</v>
      </c>
      <c r="K970" s="9" t="s">
        <v>19</v>
      </c>
      <c r="L970" s="9" t="s">
        <v>37</v>
      </c>
      <c r="M970">
        <f t="shared" ca="1" si="30"/>
        <v>8</v>
      </c>
      <c r="N970">
        <f t="shared" ca="1" si="31"/>
        <v>5.5</v>
      </c>
    </row>
    <row r="971" spans="1:14" x14ac:dyDescent="0.3">
      <c r="A971" s="5" t="s">
        <v>1437</v>
      </c>
      <c r="B971" s="9" t="s">
        <v>1438</v>
      </c>
      <c r="C971" s="9" t="s">
        <v>34</v>
      </c>
      <c r="D971" s="9" t="s">
        <v>50</v>
      </c>
      <c r="E971" s="9" t="s">
        <v>31</v>
      </c>
      <c r="F971" s="9" t="s">
        <v>35</v>
      </c>
      <c r="G971" s="9" t="s">
        <v>36</v>
      </c>
      <c r="H971" s="5">
        <v>40</v>
      </c>
      <c r="I971" s="6">
        <v>42384</v>
      </c>
      <c r="J971" s="7">
        <v>89984</v>
      </c>
      <c r="K971" s="9" t="s">
        <v>1310</v>
      </c>
      <c r="L971" s="9" t="s">
        <v>1330</v>
      </c>
      <c r="M971">
        <f t="shared" ca="1" si="30"/>
        <v>9</v>
      </c>
      <c r="N971">
        <f t="shared" ca="1" si="31"/>
        <v>5.5</v>
      </c>
    </row>
    <row r="972" spans="1:14" x14ac:dyDescent="0.3">
      <c r="A972" s="5" t="s">
        <v>1413</v>
      </c>
      <c r="B972" s="9" t="s">
        <v>1414</v>
      </c>
      <c r="C972" s="9" t="s">
        <v>277</v>
      </c>
      <c r="D972" s="9" t="s">
        <v>79</v>
      </c>
      <c r="E972" s="9" t="s">
        <v>41</v>
      </c>
      <c r="F972" s="9" t="s">
        <v>17</v>
      </c>
      <c r="G972" s="9" t="s">
        <v>36</v>
      </c>
      <c r="H972" s="5">
        <v>40</v>
      </c>
      <c r="I972" s="6">
        <v>40563</v>
      </c>
      <c r="J972" s="7">
        <v>96719</v>
      </c>
      <c r="K972" s="9" t="s">
        <v>1310</v>
      </c>
      <c r="L972" s="9" t="s">
        <v>1330</v>
      </c>
      <c r="M972">
        <f t="shared" ca="1" si="30"/>
        <v>14</v>
      </c>
      <c r="N972">
        <f t="shared" ca="1" si="31"/>
        <v>8</v>
      </c>
    </row>
    <row r="973" spans="1:14" x14ac:dyDescent="0.3">
      <c r="A973" s="5" t="s">
        <v>1845</v>
      </c>
      <c r="B973" s="9" t="s">
        <v>1846</v>
      </c>
      <c r="C973" s="9" t="s">
        <v>130</v>
      </c>
      <c r="D973" s="9" t="s">
        <v>60</v>
      </c>
      <c r="E973" s="9" t="s">
        <v>25</v>
      </c>
      <c r="F973" s="9" t="s">
        <v>17</v>
      </c>
      <c r="G973" s="9" t="s">
        <v>73</v>
      </c>
      <c r="H973" s="5">
        <v>59</v>
      </c>
      <c r="I973" s="6">
        <v>41898</v>
      </c>
      <c r="J973" s="7">
        <v>69578</v>
      </c>
      <c r="K973" s="9" t="s">
        <v>1717</v>
      </c>
      <c r="L973" s="9" t="s">
        <v>1721</v>
      </c>
      <c r="M973">
        <f t="shared" ca="1" si="30"/>
        <v>11</v>
      </c>
      <c r="N973">
        <f t="shared" ca="1" si="31"/>
        <v>5.5</v>
      </c>
    </row>
    <row r="974" spans="1:14" x14ac:dyDescent="0.3">
      <c r="A974" s="5" t="s">
        <v>1459</v>
      </c>
      <c r="B974" s="9" t="s">
        <v>1460</v>
      </c>
      <c r="C974" s="9" t="s">
        <v>307</v>
      </c>
      <c r="D974" s="9" t="s">
        <v>15</v>
      </c>
      <c r="E974" s="9" t="s">
        <v>25</v>
      </c>
      <c r="F974" s="9" t="s">
        <v>35</v>
      </c>
      <c r="G974" s="9" t="s">
        <v>36</v>
      </c>
      <c r="H974" s="5">
        <v>31</v>
      </c>
      <c r="I974" s="6">
        <v>42780</v>
      </c>
      <c r="J974" s="7">
        <v>95963</v>
      </c>
      <c r="K974" s="9" t="s">
        <v>1310</v>
      </c>
      <c r="L974" s="9" t="s">
        <v>1330</v>
      </c>
      <c r="M974">
        <f t="shared" ca="1" si="30"/>
        <v>8</v>
      </c>
      <c r="N974">
        <f t="shared" ca="1" si="31"/>
        <v>5.5</v>
      </c>
    </row>
    <row r="975" spans="1:14" x14ac:dyDescent="0.3">
      <c r="A975" s="5" t="s">
        <v>1854</v>
      </c>
      <c r="B975" s="9" t="s">
        <v>1855</v>
      </c>
      <c r="C975" s="9" t="s">
        <v>34</v>
      </c>
      <c r="D975" s="9" t="s">
        <v>50</v>
      </c>
      <c r="E975" s="9" t="s">
        <v>16</v>
      </c>
      <c r="F975" s="9" t="s">
        <v>17</v>
      </c>
      <c r="G975" s="9" t="s">
        <v>73</v>
      </c>
      <c r="H975" s="5">
        <v>53</v>
      </c>
      <c r="I975" s="6">
        <v>38344</v>
      </c>
      <c r="J975" s="7">
        <v>90212</v>
      </c>
      <c r="K975" s="9" t="s">
        <v>1717</v>
      </c>
      <c r="L975" s="9" t="s">
        <v>1736</v>
      </c>
      <c r="M975">
        <f t="shared" ca="1" si="30"/>
        <v>20</v>
      </c>
      <c r="N975">
        <f t="shared" ca="1" si="31"/>
        <v>9.5</v>
      </c>
    </row>
    <row r="976" spans="1:14" x14ac:dyDescent="0.3">
      <c r="A976" s="5" t="s">
        <v>1628</v>
      </c>
      <c r="B976" s="9" t="s">
        <v>1629</v>
      </c>
      <c r="C976" s="9" t="s">
        <v>277</v>
      </c>
      <c r="D976" s="9" t="s">
        <v>79</v>
      </c>
      <c r="E976" s="9" t="s">
        <v>16</v>
      </c>
      <c r="F976" s="9" t="s">
        <v>17</v>
      </c>
      <c r="G976" s="9" t="s">
        <v>36</v>
      </c>
      <c r="H976" s="5">
        <v>46</v>
      </c>
      <c r="I976" s="6">
        <v>44213</v>
      </c>
      <c r="J976" s="7">
        <v>72131</v>
      </c>
      <c r="K976" s="9" t="s">
        <v>1310</v>
      </c>
      <c r="L976" s="9" t="s">
        <v>1316</v>
      </c>
      <c r="M976">
        <f t="shared" ca="1" si="30"/>
        <v>4</v>
      </c>
      <c r="N976">
        <f t="shared" ca="1" si="31"/>
        <v>3</v>
      </c>
    </row>
    <row r="977" spans="1:14" x14ac:dyDescent="0.3">
      <c r="A977" s="5" t="s">
        <v>357</v>
      </c>
      <c r="B977" s="9" t="s">
        <v>358</v>
      </c>
      <c r="C977" s="9" t="s">
        <v>184</v>
      </c>
      <c r="D977" s="9" t="s">
        <v>56</v>
      </c>
      <c r="E977" s="9" t="s">
        <v>16</v>
      </c>
      <c r="F977" s="9" t="s">
        <v>35</v>
      </c>
      <c r="G977" s="9" t="s">
        <v>26</v>
      </c>
      <c r="H977" s="5">
        <v>30</v>
      </c>
      <c r="I977" s="6">
        <v>42078</v>
      </c>
      <c r="J977" s="7">
        <v>93734</v>
      </c>
      <c r="K977" s="9" t="s">
        <v>19</v>
      </c>
      <c r="L977" s="9" t="s">
        <v>37</v>
      </c>
      <c r="M977">
        <f t="shared" ca="1" si="30"/>
        <v>10</v>
      </c>
      <c r="N977">
        <f t="shared" ca="1" si="31"/>
        <v>5.5</v>
      </c>
    </row>
    <row r="978" spans="1:14" x14ac:dyDescent="0.3">
      <c r="A978" s="5" t="s">
        <v>1159</v>
      </c>
      <c r="B978" s="9" t="s">
        <v>1160</v>
      </c>
      <c r="C978" s="9" t="s">
        <v>23</v>
      </c>
      <c r="D978" s="9" t="s">
        <v>68</v>
      </c>
      <c r="E978" s="9" t="s">
        <v>25</v>
      </c>
      <c r="F978" s="9" t="s">
        <v>35</v>
      </c>
      <c r="G978" s="9" t="s">
        <v>26</v>
      </c>
      <c r="H978" s="5">
        <v>25</v>
      </c>
      <c r="I978" s="6">
        <v>44058</v>
      </c>
      <c r="J978" s="7">
        <v>172007</v>
      </c>
      <c r="K978" s="9" t="s">
        <v>19</v>
      </c>
      <c r="L978" s="9" t="s">
        <v>45</v>
      </c>
      <c r="M978">
        <f t="shared" ca="1" si="30"/>
        <v>5</v>
      </c>
      <c r="N978">
        <f t="shared" ca="1" si="31"/>
        <v>3</v>
      </c>
    </row>
    <row r="979" spans="1:14" x14ac:dyDescent="0.3">
      <c r="A979" s="5" t="s">
        <v>509</v>
      </c>
      <c r="B979" s="9" t="s">
        <v>510</v>
      </c>
      <c r="C979" s="9" t="s">
        <v>91</v>
      </c>
      <c r="D979" s="9" t="s">
        <v>68</v>
      </c>
      <c r="E979" s="9" t="s">
        <v>25</v>
      </c>
      <c r="F979" s="9" t="s">
        <v>35</v>
      </c>
      <c r="G979" s="9" t="s">
        <v>73</v>
      </c>
      <c r="H979" s="5">
        <v>37</v>
      </c>
      <c r="I979" s="6">
        <v>41363</v>
      </c>
      <c r="J979" s="7">
        <v>69570</v>
      </c>
      <c r="K979" s="9" t="s">
        <v>19</v>
      </c>
      <c r="L979" s="9" t="s">
        <v>45</v>
      </c>
      <c r="M979">
        <f t="shared" ca="1" si="30"/>
        <v>12</v>
      </c>
      <c r="N979">
        <f t="shared" ca="1" si="31"/>
        <v>8</v>
      </c>
    </row>
    <row r="980" spans="1:14" x14ac:dyDescent="0.3">
      <c r="A980" s="5" t="s">
        <v>904</v>
      </c>
      <c r="B980" s="9" t="s">
        <v>905</v>
      </c>
      <c r="C980" s="9" t="s">
        <v>181</v>
      </c>
      <c r="D980" s="9" t="s">
        <v>79</v>
      </c>
      <c r="E980" s="9" t="s">
        <v>16</v>
      </c>
      <c r="F980" s="9" t="s">
        <v>17</v>
      </c>
      <c r="G980" s="9" t="s">
        <v>36</v>
      </c>
      <c r="H980" s="5">
        <v>40</v>
      </c>
      <c r="I980" s="6">
        <v>43175</v>
      </c>
      <c r="J980" s="7">
        <v>55457</v>
      </c>
      <c r="K980" s="9" t="s">
        <v>19</v>
      </c>
      <c r="L980" s="9" t="s">
        <v>76</v>
      </c>
      <c r="M980">
        <f t="shared" ca="1" si="30"/>
        <v>7</v>
      </c>
      <c r="N980">
        <f t="shared" ca="1" si="31"/>
        <v>4</v>
      </c>
    </row>
    <row r="981" spans="1:14" x14ac:dyDescent="0.3">
      <c r="A981" s="5" t="s">
        <v>260</v>
      </c>
      <c r="B981" s="9" t="s">
        <v>261</v>
      </c>
      <c r="C981" s="9" t="s">
        <v>40</v>
      </c>
      <c r="D981" s="9" t="s">
        <v>15</v>
      </c>
      <c r="E981" s="9" t="s">
        <v>41</v>
      </c>
      <c r="F981" s="9" t="s">
        <v>35</v>
      </c>
      <c r="G981" s="9" t="s">
        <v>26</v>
      </c>
      <c r="H981" s="5">
        <v>32</v>
      </c>
      <c r="I981" s="6">
        <v>41642</v>
      </c>
      <c r="J981" s="7">
        <v>127148</v>
      </c>
      <c r="K981" s="9" t="s">
        <v>19</v>
      </c>
      <c r="L981" s="9" t="s">
        <v>45</v>
      </c>
      <c r="M981">
        <f t="shared" ca="1" si="30"/>
        <v>11</v>
      </c>
      <c r="N981">
        <f t="shared" ca="1" si="31"/>
        <v>5.5</v>
      </c>
    </row>
    <row r="982" spans="1:14" x14ac:dyDescent="0.3">
      <c r="A982" s="5" t="s">
        <v>1421</v>
      </c>
      <c r="B982" s="9" t="s">
        <v>1422</v>
      </c>
      <c r="C982" s="9" t="s">
        <v>14</v>
      </c>
      <c r="D982" s="9" t="s">
        <v>50</v>
      </c>
      <c r="E982" s="9" t="s">
        <v>31</v>
      </c>
      <c r="F982" s="9" t="s">
        <v>17</v>
      </c>
      <c r="G982" s="9" t="s">
        <v>36</v>
      </c>
      <c r="H982" s="5">
        <v>49</v>
      </c>
      <c r="I982" s="6">
        <v>36983</v>
      </c>
      <c r="J982" s="7">
        <v>129124</v>
      </c>
      <c r="K982" s="9" t="s">
        <v>1310</v>
      </c>
      <c r="L982" s="9" t="s">
        <v>1316</v>
      </c>
      <c r="M982">
        <f t="shared" ca="1" si="30"/>
        <v>24</v>
      </c>
      <c r="N982">
        <f t="shared" ca="1" si="31"/>
        <v>9.5</v>
      </c>
    </row>
    <row r="983" spans="1:14" x14ac:dyDescent="0.3">
      <c r="A983" s="5" t="s">
        <v>1357</v>
      </c>
      <c r="B983" s="9" t="s">
        <v>1358</v>
      </c>
      <c r="C983" s="9" t="s">
        <v>23</v>
      </c>
      <c r="D983" s="9" t="s">
        <v>15</v>
      </c>
      <c r="E983" s="9" t="s">
        <v>16</v>
      </c>
      <c r="F983" s="9" t="s">
        <v>17</v>
      </c>
      <c r="G983" s="9" t="s">
        <v>36</v>
      </c>
      <c r="H983" s="5">
        <v>29</v>
      </c>
      <c r="I983" s="6">
        <v>44052</v>
      </c>
      <c r="J983" s="7">
        <v>161203</v>
      </c>
      <c r="K983" s="9" t="s">
        <v>1310</v>
      </c>
      <c r="L983" s="9" t="s">
        <v>1330</v>
      </c>
      <c r="M983">
        <f t="shared" ca="1" si="30"/>
        <v>5</v>
      </c>
      <c r="N983">
        <f t="shared" ca="1" si="31"/>
        <v>3</v>
      </c>
    </row>
    <row r="984" spans="1:14" x14ac:dyDescent="0.3">
      <c r="A984" s="5" t="s">
        <v>119</v>
      </c>
      <c r="B984" s="9" t="s">
        <v>120</v>
      </c>
      <c r="C984" s="9" t="s">
        <v>121</v>
      </c>
      <c r="D984" s="9" t="s">
        <v>56</v>
      </c>
      <c r="E984" s="9" t="s">
        <v>16</v>
      </c>
      <c r="F984" s="9" t="s">
        <v>17</v>
      </c>
      <c r="G984" s="9" t="s">
        <v>26</v>
      </c>
      <c r="H984" s="5">
        <v>64</v>
      </c>
      <c r="I984" s="6">
        <v>37184</v>
      </c>
      <c r="J984" s="7">
        <v>64057</v>
      </c>
      <c r="K984" s="9" t="s">
        <v>19</v>
      </c>
      <c r="L984" s="9" t="s">
        <v>37</v>
      </c>
      <c r="M984">
        <f t="shared" ca="1" si="30"/>
        <v>24</v>
      </c>
      <c r="N984">
        <f t="shared" ca="1" si="31"/>
        <v>9.5</v>
      </c>
    </row>
    <row r="985" spans="1:14" x14ac:dyDescent="0.3">
      <c r="A985" s="5" t="s">
        <v>1073</v>
      </c>
      <c r="B985" s="9" t="s">
        <v>1074</v>
      </c>
      <c r="C985" s="9" t="s">
        <v>14</v>
      </c>
      <c r="D985" s="9" t="s">
        <v>56</v>
      </c>
      <c r="E985" s="9" t="s">
        <v>31</v>
      </c>
      <c r="F985" s="9" t="s">
        <v>17</v>
      </c>
      <c r="G985" s="9" t="s">
        <v>36</v>
      </c>
      <c r="H985" s="5">
        <v>32</v>
      </c>
      <c r="I985" s="6">
        <v>42839</v>
      </c>
      <c r="J985" s="7">
        <v>154956</v>
      </c>
      <c r="K985" s="9" t="s">
        <v>19</v>
      </c>
      <c r="L985" s="9" t="s">
        <v>37</v>
      </c>
      <c r="M985">
        <f t="shared" ca="1" si="30"/>
        <v>8</v>
      </c>
      <c r="N985">
        <f t="shared" ca="1" si="31"/>
        <v>5.5</v>
      </c>
    </row>
    <row r="986" spans="1:14" x14ac:dyDescent="0.3">
      <c r="A986" s="5" t="s">
        <v>660</v>
      </c>
      <c r="B986" s="9" t="s">
        <v>661</v>
      </c>
      <c r="C986" s="9" t="s">
        <v>211</v>
      </c>
      <c r="D986" s="9" t="s">
        <v>15</v>
      </c>
      <c r="E986" s="9" t="s">
        <v>31</v>
      </c>
      <c r="F986" s="9" t="s">
        <v>17</v>
      </c>
      <c r="G986" s="9" t="s">
        <v>18</v>
      </c>
      <c r="H986" s="5">
        <v>42</v>
      </c>
      <c r="I986" s="6">
        <v>40593</v>
      </c>
      <c r="J986" s="7">
        <v>72486</v>
      </c>
      <c r="K986" s="9" t="s">
        <v>19</v>
      </c>
      <c r="L986" s="9" t="s">
        <v>20</v>
      </c>
      <c r="M986">
        <f t="shared" ca="1" si="30"/>
        <v>14</v>
      </c>
      <c r="N986">
        <f t="shared" ca="1" si="31"/>
        <v>8</v>
      </c>
    </row>
    <row r="987" spans="1:14" x14ac:dyDescent="0.3">
      <c r="A987" s="5" t="s">
        <v>1918</v>
      </c>
      <c r="B987" s="9" t="s">
        <v>1919</v>
      </c>
      <c r="C987" s="9" t="s">
        <v>130</v>
      </c>
      <c r="D987" s="9" t="s">
        <v>60</v>
      </c>
      <c r="E987" s="9" t="s">
        <v>25</v>
      </c>
      <c r="F987" s="9" t="s">
        <v>17</v>
      </c>
      <c r="G987" s="9" t="s">
        <v>73</v>
      </c>
      <c r="H987" s="5">
        <v>52</v>
      </c>
      <c r="I987" s="6">
        <v>39532</v>
      </c>
      <c r="J987" s="7">
        <v>97398</v>
      </c>
      <c r="K987" s="9" t="s">
        <v>1717</v>
      </c>
      <c r="L987" s="9" t="s">
        <v>1718</v>
      </c>
      <c r="M987">
        <f t="shared" ca="1" si="30"/>
        <v>17</v>
      </c>
      <c r="N987">
        <f t="shared" ca="1" si="31"/>
        <v>8</v>
      </c>
    </row>
    <row r="988" spans="1:14" x14ac:dyDescent="0.3">
      <c r="A988" s="5" t="s">
        <v>618</v>
      </c>
      <c r="B988" s="9" t="s">
        <v>619</v>
      </c>
      <c r="C988" s="9" t="s">
        <v>34</v>
      </c>
      <c r="D988" s="9" t="s">
        <v>24</v>
      </c>
      <c r="E988" s="9" t="s">
        <v>31</v>
      </c>
      <c r="F988" s="9" t="s">
        <v>35</v>
      </c>
      <c r="G988" s="9" t="s">
        <v>26</v>
      </c>
      <c r="H988" s="5">
        <v>55</v>
      </c>
      <c r="I988" s="6">
        <v>37456</v>
      </c>
      <c r="J988" s="7">
        <v>77396</v>
      </c>
      <c r="K988" s="9" t="s">
        <v>19</v>
      </c>
      <c r="L988" s="9" t="s">
        <v>45</v>
      </c>
      <c r="M988">
        <f t="shared" ca="1" si="30"/>
        <v>23</v>
      </c>
      <c r="N988">
        <f t="shared" ca="1" si="31"/>
        <v>9.5</v>
      </c>
    </row>
    <row r="989" spans="1:14" x14ac:dyDescent="0.3">
      <c r="A989" s="5" t="s">
        <v>1746</v>
      </c>
      <c r="B989" s="9" t="s">
        <v>1747</v>
      </c>
      <c r="C989" s="9" t="s">
        <v>253</v>
      </c>
      <c r="D989" s="9" t="s">
        <v>15</v>
      </c>
      <c r="E989" s="9" t="s">
        <v>31</v>
      </c>
      <c r="F989" s="9" t="s">
        <v>17</v>
      </c>
      <c r="G989" s="9" t="s">
        <v>73</v>
      </c>
      <c r="H989" s="5">
        <v>32</v>
      </c>
      <c r="I989" s="6">
        <v>44474</v>
      </c>
      <c r="J989" s="7">
        <v>88072</v>
      </c>
      <c r="K989" s="9" t="s">
        <v>1717</v>
      </c>
      <c r="L989" s="9" t="s">
        <v>1736</v>
      </c>
      <c r="M989">
        <f t="shared" ca="1" si="30"/>
        <v>4</v>
      </c>
      <c r="N989">
        <f t="shared" ca="1" si="31"/>
        <v>3</v>
      </c>
    </row>
    <row r="990" spans="1:14" x14ac:dyDescent="0.3">
      <c r="A990" s="5" t="s">
        <v>541</v>
      </c>
      <c r="B990" s="9" t="s">
        <v>542</v>
      </c>
      <c r="C990" s="9" t="s">
        <v>40</v>
      </c>
      <c r="D990" s="9" t="s">
        <v>79</v>
      </c>
      <c r="E990" s="9" t="s">
        <v>25</v>
      </c>
      <c r="F990" s="9" t="s">
        <v>35</v>
      </c>
      <c r="G990" s="9" t="s">
        <v>36</v>
      </c>
      <c r="H990" s="5">
        <v>52</v>
      </c>
      <c r="I990" s="6">
        <v>41858</v>
      </c>
      <c r="J990" s="7">
        <v>117062</v>
      </c>
      <c r="K990" s="9" t="s">
        <v>19</v>
      </c>
      <c r="L990" s="9" t="s">
        <v>37</v>
      </c>
      <c r="M990">
        <f t="shared" ca="1" si="30"/>
        <v>11</v>
      </c>
      <c r="N990">
        <f t="shared" ca="1" si="31"/>
        <v>5.5</v>
      </c>
    </row>
    <row r="991" spans="1:14" x14ac:dyDescent="0.3">
      <c r="A991" s="5" t="s">
        <v>816</v>
      </c>
      <c r="B991" s="9" t="s">
        <v>817</v>
      </c>
      <c r="C991" s="9" t="s">
        <v>44</v>
      </c>
      <c r="D991" s="9" t="s">
        <v>68</v>
      </c>
      <c r="E991" s="9" t="s">
        <v>25</v>
      </c>
      <c r="F991" s="9" t="s">
        <v>17</v>
      </c>
      <c r="G991" s="9" t="s">
        <v>26</v>
      </c>
      <c r="H991" s="5">
        <v>64</v>
      </c>
      <c r="I991" s="6">
        <v>37662</v>
      </c>
      <c r="J991" s="7">
        <v>57032</v>
      </c>
      <c r="K991" s="9" t="s">
        <v>19</v>
      </c>
      <c r="L991" s="9" t="s">
        <v>45</v>
      </c>
      <c r="M991">
        <f t="shared" ca="1" si="30"/>
        <v>22</v>
      </c>
      <c r="N991">
        <f t="shared" ca="1" si="31"/>
        <v>9.5</v>
      </c>
    </row>
    <row r="992" spans="1:14" x14ac:dyDescent="0.3">
      <c r="A992" s="5" t="s">
        <v>864</v>
      </c>
      <c r="B992" s="9" t="s">
        <v>865</v>
      </c>
      <c r="C992" s="9" t="s">
        <v>67</v>
      </c>
      <c r="D992" s="9" t="s">
        <v>79</v>
      </c>
      <c r="E992" s="9" t="s">
        <v>25</v>
      </c>
      <c r="F992" s="9" t="s">
        <v>35</v>
      </c>
      <c r="G992" s="9" t="s">
        <v>18</v>
      </c>
      <c r="H992" s="5">
        <v>36</v>
      </c>
      <c r="I992" s="6">
        <v>43178</v>
      </c>
      <c r="J992" s="7">
        <v>195200</v>
      </c>
      <c r="K992" s="9" t="s">
        <v>19</v>
      </c>
      <c r="L992" s="9" t="s">
        <v>51</v>
      </c>
      <c r="M992">
        <f t="shared" ca="1" si="30"/>
        <v>7</v>
      </c>
      <c r="N992">
        <f t="shared" ca="1" si="31"/>
        <v>4</v>
      </c>
    </row>
    <row r="993" spans="1:14" x14ac:dyDescent="0.3">
      <c r="A993" s="5" t="s">
        <v>1890</v>
      </c>
      <c r="B993" s="9" t="s">
        <v>1891</v>
      </c>
      <c r="C993" s="9" t="s">
        <v>34</v>
      </c>
      <c r="D993" s="9" t="s">
        <v>79</v>
      </c>
      <c r="E993" s="9" t="s">
        <v>31</v>
      </c>
      <c r="F993" s="9" t="s">
        <v>17</v>
      </c>
      <c r="G993" s="9" t="s">
        <v>73</v>
      </c>
      <c r="H993" s="5">
        <v>57</v>
      </c>
      <c r="I993" s="6">
        <v>39357</v>
      </c>
      <c r="J993" s="7">
        <v>98150</v>
      </c>
      <c r="K993" s="9" t="s">
        <v>1717</v>
      </c>
      <c r="L993" s="9" t="s">
        <v>1721</v>
      </c>
      <c r="M993">
        <f t="shared" ca="1" si="30"/>
        <v>18</v>
      </c>
      <c r="N993">
        <f t="shared" ca="1" si="31"/>
        <v>9.5</v>
      </c>
    </row>
    <row r="994" spans="1:14" x14ac:dyDescent="0.3">
      <c r="A994" s="5" t="s">
        <v>194</v>
      </c>
      <c r="B994" s="9" t="s">
        <v>195</v>
      </c>
      <c r="C994" s="9" t="s">
        <v>196</v>
      </c>
      <c r="D994" s="9" t="s">
        <v>60</v>
      </c>
      <c r="E994" s="9" t="s">
        <v>25</v>
      </c>
      <c r="F994" s="9" t="s">
        <v>35</v>
      </c>
      <c r="G994" s="9" t="s">
        <v>18</v>
      </c>
      <c r="H994" s="5">
        <v>56</v>
      </c>
      <c r="I994" s="6">
        <v>42031</v>
      </c>
      <c r="J994" s="7">
        <v>62575</v>
      </c>
      <c r="K994" s="9" t="s">
        <v>19</v>
      </c>
      <c r="L994" s="9" t="s">
        <v>45</v>
      </c>
      <c r="M994">
        <f t="shared" ca="1" si="30"/>
        <v>10</v>
      </c>
      <c r="N994">
        <f t="shared" ca="1" si="31"/>
        <v>5.5</v>
      </c>
    </row>
    <row r="995" spans="1:14" x14ac:dyDescent="0.3">
      <c r="A995" s="5" t="s">
        <v>1495</v>
      </c>
      <c r="B995" s="9" t="s">
        <v>1496</v>
      </c>
      <c r="C995" s="9" t="s">
        <v>67</v>
      </c>
      <c r="D995" s="9" t="s">
        <v>60</v>
      </c>
      <c r="E995" s="9" t="s">
        <v>31</v>
      </c>
      <c r="F995" s="9" t="s">
        <v>17</v>
      </c>
      <c r="G995" s="9" t="s">
        <v>36</v>
      </c>
      <c r="H995" s="5">
        <v>50</v>
      </c>
      <c r="I995" s="6">
        <v>39734</v>
      </c>
      <c r="J995" s="7">
        <v>181801</v>
      </c>
      <c r="K995" s="9" t="s">
        <v>1310</v>
      </c>
      <c r="L995" s="9" t="s">
        <v>1311</v>
      </c>
      <c r="M995">
        <f t="shared" ca="1" si="30"/>
        <v>17</v>
      </c>
      <c r="N995">
        <f t="shared" ca="1" si="31"/>
        <v>8</v>
      </c>
    </row>
    <row r="996" spans="1:14" x14ac:dyDescent="0.3">
      <c r="A996" s="5" t="s">
        <v>1619</v>
      </c>
      <c r="B996" s="9" t="s">
        <v>1620</v>
      </c>
      <c r="C996" s="9" t="s">
        <v>136</v>
      </c>
      <c r="D996" s="9" t="s">
        <v>60</v>
      </c>
      <c r="E996" s="9" t="s">
        <v>16</v>
      </c>
      <c r="F996" s="9" t="s">
        <v>17</v>
      </c>
      <c r="G996" s="9" t="s">
        <v>36</v>
      </c>
      <c r="H996" s="5">
        <v>40</v>
      </c>
      <c r="I996" s="6">
        <v>42622</v>
      </c>
      <c r="J996" s="7">
        <v>109680</v>
      </c>
      <c r="K996" s="9" t="s">
        <v>1310</v>
      </c>
      <c r="L996" s="9" t="s">
        <v>1330</v>
      </c>
      <c r="M996">
        <f t="shared" ca="1" si="30"/>
        <v>9</v>
      </c>
      <c r="N996">
        <f t="shared" ca="1" si="31"/>
        <v>5.5</v>
      </c>
    </row>
    <row r="997" spans="1:14" x14ac:dyDescent="0.3">
      <c r="A997" s="5" t="s">
        <v>425</v>
      </c>
      <c r="B997" s="9" t="s">
        <v>549</v>
      </c>
      <c r="C997" s="9" t="s">
        <v>14</v>
      </c>
      <c r="D997" s="9" t="s">
        <v>56</v>
      </c>
      <c r="E997" s="9" t="s">
        <v>25</v>
      </c>
      <c r="F997" s="9" t="s">
        <v>17</v>
      </c>
      <c r="G997" s="9" t="s">
        <v>26</v>
      </c>
      <c r="H997" s="5">
        <v>41</v>
      </c>
      <c r="I997" s="6">
        <v>39747</v>
      </c>
      <c r="J997" s="7">
        <v>131841</v>
      </c>
      <c r="K997" s="9" t="s">
        <v>19</v>
      </c>
      <c r="L997" s="9" t="s">
        <v>76</v>
      </c>
      <c r="M997">
        <f t="shared" ca="1" si="30"/>
        <v>17</v>
      </c>
      <c r="N997">
        <f t="shared" ca="1" si="31"/>
        <v>8</v>
      </c>
    </row>
    <row r="998" spans="1:14" x14ac:dyDescent="0.3">
      <c r="A998" s="5" t="s">
        <v>425</v>
      </c>
      <c r="B998" s="9" t="s">
        <v>426</v>
      </c>
      <c r="C998" s="9" t="s">
        <v>14</v>
      </c>
      <c r="D998" s="9" t="s">
        <v>68</v>
      </c>
      <c r="E998" s="9" t="s">
        <v>25</v>
      </c>
      <c r="F998" s="9" t="s">
        <v>35</v>
      </c>
      <c r="G998" s="9" t="s">
        <v>26</v>
      </c>
      <c r="H998" s="5">
        <v>30</v>
      </c>
      <c r="I998" s="6">
        <v>44030</v>
      </c>
      <c r="J998" s="7">
        <v>148485</v>
      </c>
      <c r="K998" s="9" t="s">
        <v>19</v>
      </c>
      <c r="L998" s="9" t="s">
        <v>45</v>
      </c>
      <c r="M998">
        <f t="shared" ca="1" si="30"/>
        <v>5</v>
      </c>
      <c r="N998">
        <f t="shared" ca="1" si="31"/>
        <v>3</v>
      </c>
    </row>
    <row r="999" spans="1:14" x14ac:dyDescent="0.3">
      <c r="A999" s="5" t="s">
        <v>425</v>
      </c>
      <c r="B999" s="9" t="s">
        <v>1083</v>
      </c>
      <c r="C999" s="9" t="s">
        <v>178</v>
      </c>
      <c r="D999" s="9" t="s">
        <v>15</v>
      </c>
      <c r="E999" s="9" t="s">
        <v>41</v>
      </c>
      <c r="F999" s="9" t="s">
        <v>17</v>
      </c>
      <c r="G999" s="9" t="s">
        <v>36</v>
      </c>
      <c r="H999" s="5">
        <v>29</v>
      </c>
      <c r="I999" s="6">
        <v>43048</v>
      </c>
      <c r="J999" s="7">
        <v>63985</v>
      </c>
      <c r="K999" s="9" t="s">
        <v>19</v>
      </c>
      <c r="L999" s="9" t="s">
        <v>45</v>
      </c>
      <c r="M999">
        <f t="shared" ca="1" si="30"/>
        <v>8</v>
      </c>
      <c r="N999">
        <f t="shared" ca="1" si="31"/>
        <v>5.5</v>
      </c>
    </row>
    <row r="1000" spans="1:14" x14ac:dyDescent="0.3">
      <c r="A1000" s="5" t="s">
        <v>1212</v>
      </c>
      <c r="B1000" s="9" t="s">
        <v>1213</v>
      </c>
      <c r="C1000" s="9" t="s">
        <v>96</v>
      </c>
      <c r="D1000" s="9" t="s">
        <v>15</v>
      </c>
      <c r="E1000" s="9" t="s">
        <v>16</v>
      </c>
      <c r="F1000" s="9" t="s">
        <v>17</v>
      </c>
      <c r="G1000" s="9" t="s">
        <v>26</v>
      </c>
      <c r="H1000" s="5">
        <v>45</v>
      </c>
      <c r="I1000" s="6">
        <v>39908</v>
      </c>
      <c r="J1000" s="7">
        <v>64505</v>
      </c>
      <c r="K1000" s="9" t="s">
        <v>19</v>
      </c>
      <c r="L1000" s="9" t="s">
        <v>45</v>
      </c>
      <c r="M1000">
        <f t="shared" ca="1" si="30"/>
        <v>16</v>
      </c>
      <c r="N1000">
        <f t="shared" ca="1" si="31"/>
        <v>8</v>
      </c>
    </row>
    <row r="1001" spans="1:14" x14ac:dyDescent="0.3">
      <c r="A1001" s="5" t="s">
        <v>1139</v>
      </c>
      <c r="B1001" s="9" t="s">
        <v>1140</v>
      </c>
      <c r="C1001" s="9" t="s">
        <v>23</v>
      </c>
      <c r="D1001" s="9" t="s">
        <v>50</v>
      </c>
      <c r="E1001" s="9" t="s">
        <v>16</v>
      </c>
      <c r="F1001" s="9" t="s">
        <v>17</v>
      </c>
      <c r="G1001" s="9" t="s">
        <v>26</v>
      </c>
      <c r="H1001" s="5">
        <v>35</v>
      </c>
      <c r="I1001" s="6">
        <v>42912</v>
      </c>
      <c r="J1001" s="7">
        <v>161269</v>
      </c>
      <c r="K1001" s="9" t="s">
        <v>19</v>
      </c>
      <c r="L1001" s="9" t="s">
        <v>45</v>
      </c>
      <c r="M1001">
        <f t="shared" ca="1" si="30"/>
        <v>8</v>
      </c>
      <c r="N1001">
        <f t="shared" ca="1" si="31"/>
        <v>5.5</v>
      </c>
    </row>
  </sheetData>
  <scenarios current="0" sqref="U5">
    <scenario name="profit 25" locked="1" count="1" user="hp" comment="Created by hp on 29-07-2025">
      <inputCells r="U4" val="0.25" numFmtId="9"/>
    </scenario>
    <scenario name="profit 30" locked="1" count="1" user="hp" comment="Created by hp on 29-07-2025">
      <inputCells r="U4" val="0.3" numFmtId="9"/>
    </scenario>
    <scenario name="profit 40" locked="1" count="1" user="hp" comment="Created by hp on 29-07-2025">
      <inputCells r="U4" val="0.4" numFmtId="9"/>
    </scenario>
  </scenarios>
  <dataConsolidate topLabels="1">
    <dataRefs count="1">
      <dataRef ref="P4" sheet="Employee_Details"/>
    </dataRefs>
  </dataConsolidate>
  <phoneticPr fontId="4" type="noConversion"/>
  <pageMargins left="0.7" right="0.7" top="0.75" bottom="0.75" header="0.3" footer="0.3"/>
  <pageSetup paperSize="9" orientation="portrait" horizontalDpi="0" verticalDpi="0" r:id="rId1"/>
  <cellWatches>
    <cellWatch r="A1"/>
    <cellWatch r="B1"/>
    <cellWatch r="C1"/>
    <cellWatch r="D1"/>
    <cellWatch r="E1"/>
    <cellWatch r="F1"/>
    <cellWatch r="G1"/>
    <cellWatch r="H1"/>
    <cellWatch r="I1"/>
    <cellWatch r="J1"/>
    <cellWatch r="K1"/>
    <cellWatch r="L1"/>
    <cellWatch r="M1"/>
    <cellWatch r="N1"/>
    <cellWatch r="A2"/>
    <cellWatch r="B2"/>
    <cellWatch r="C2"/>
    <cellWatch r="D2"/>
    <cellWatch r="E2"/>
    <cellWatch r="F2"/>
    <cellWatch r="G2"/>
    <cellWatch r="H2"/>
    <cellWatch r="I2"/>
    <cellWatch r="J2"/>
    <cellWatch r="K2"/>
    <cellWatch r="L2"/>
    <cellWatch r="M2"/>
    <cellWatch r="N2"/>
    <cellWatch r="A3"/>
    <cellWatch r="B3"/>
    <cellWatch r="C3"/>
    <cellWatch r="D3"/>
    <cellWatch r="E3"/>
    <cellWatch r="F3"/>
    <cellWatch r="G3"/>
    <cellWatch r="H3"/>
    <cellWatch r="I3"/>
    <cellWatch r="J3"/>
    <cellWatch r="K3"/>
    <cellWatch r="L3"/>
    <cellWatch r="M3"/>
    <cellWatch r="N3"/>
    <cellWatch r="A4"/>
    <cellWatch r="B4"/>
    <cellWatch r="C4"/>
    <cellWatch r="D4"/>
    <cellWatch r="E4"/>
    <cellWatch r="F4"/>
    <cellWatch r="G4"/>
    <cellWatch r="H4"/>
    <cellWatch r="I4"/>
    <cellWatch r="J4"/>
    <cellWatch r="K4"/>
    <cellWatch r="L4"/>
    <cellWatch r="M4"/>
    <cellWatch r="N4"/>
    <cellWatch r="A5"/>
    <cellWatch r="B5"/>
    <cellWatch r="C5"/>
    <cellWatch r="D5"/>
    <cellWatch r="E5"/>
    <cellWatch r="F5"/>
    <cellWatch r="G5"/>
    <cellWatch r="H5"/>
    <cellWatch r="I5"/>
    <cellWatch r="J5"/>
    <cellWatch r="K5"/>
    <cellWatch r="L5"/>
    <cellWatch r="M5"/>
    <cellWatch r="N5"/>
    <cellWatch r="A6"/>
    <cellWatch r="B6"/>
    <cellWatch r="C6"/>
    <cellWatch r="D6"/>
    <cellWatch r="E6"/>
    <cellWatch r="F6"/>
    <cellWatch r="G6"/>
    <cellWatch r="H6"/>
    <cellWatch r="I6"/>
    <cellWatch r="J6"/>
    <cellWatch r="K6"/>
    <cellWatch r="L6"/>
    <cellWatch r="M6"/>
    <cellWatch r="N6"/>
    <cellWatch r="A7"/>
    <cellWatch r="B7"/>
    <cellWatch r="C7"/>
    <cellWatch r="D7"/>
    <cellWatch r="E7"/>
    <cellWatch r="F7"/>
    <cellWatch r="G7"/>
    <cellWatch r="H7"/>
    <cellWatch r="I7"/>
    <cellWatch r="J7"/>
    <cellWatch r="K7"/>
    <cellWatch r="L7"/>
    <cellWatch r="M7"/>
    <cellWatch r="N7"/>
    <cellWatch r="A8"/>
    <cellWatch r="B8"/>
    <cellWatch r="C8"/>
    <cellWatch r="D8"/>
    <cellWatch r="E8"/>
    <cellWatch r="F8"/>
    <cellWatch r="G8"/>
    <cellWatch r="H8"/>
    <cellWatch r="I8"/>
    <cellWatch r="J8"/>
    <cellWatch r="K8"/>
    <cellWatch r="L8"/>
    <cellWatch r="M8"/>
    <cellWatch r="N8"/>
    <cellWatch r="A9"/>
    <cellWatch r="B9"/>
    <cellWatch r="C9"/>
    <cellWatch r="D9"/>
    <cellWatch r="E9"/>
    <cellWatch r="F9"/>
    <cellWatch r="G9"/>
    <cellWatch r="H9"/>
    <cellWatch r="I9"/>
    <cellWatch r="J9"/>
    <cellWatch r="K9"/>
    <cellWatch r="L9"/>
    <cellWatch r="M9"/>
    <cellWatch r="N9"/>
    <cellWatch r="A10"/>
    <cellWatch r="B10"/>
    <cellWatch r="C10"/>
    <cellWatch r="D10"/>
    <cellWatch r="E10"/>
    <cellWatch r="F10"/>
    <cellWatch r="G10"/>
    <cellWatch r="H10"/>
    <cellWatch r="I10"/>
    <cellWatch r="J10"/>
    <cellWatch r="K10"/>
    <cellWatch r="L10"/>
    <cellWatch r="M10"/>
    <cellWatch r="N10"/>
    <cellWatch r="A11"/>
    <cellWatch r="B11"/>
    <cellWatch r="C11"/>
    <cellWatch r="D11"/>
    <cellWatch r="E11"/>
    <cellWatch r="F11"/>
    <cellWatch r="G11"/>
    <cellWatch r="H11"/>
    <cellWatch r="I11"/>
    <cellWatch r="J11"/>
    <cellWatch r="K11"/>
    <cellWatch r="L11"/>
    <cellWatch r="M11"/>
    <cellWatch r="N11"/>
    <cellWatch r="A12"/>
    <cellWatch r="B12"/>
    <cellWatch r="C12"/>
    <cellWatch r="D12"/>
    <cellWatch r="E12"/>
    <cellWatch r="F12"/>
    <cellWatch r="G12"/>
    <cellWatch r="H12"/>
    <cellWatch r="I12"/>
    <cellWatch r="J12"/>
    <cellWatch r="K12"/>
    <cellWatch r="L12"/>
    <cellWatch r="M12"/>
    <cellWatch r="N12"/>
    <cellWatch r="A13"/>
    <cellWatch r="B13"/>
    <cellWatch r="C13"/>
    <cellWatch r="D13"/>
    <cellWatch r="E13"/>
    <cellWatch r="F13"/>
    <cellWatch r="G13"/>
    <cellWatch r="H13"/>
    <cellWatch r="I13"/>
    <cellWatch r="J13"/>
    <cellWatch r="K13"/>
    <cellWatch r="L13"/>
    <cellWatch r="M13"/>
    <cellWatch r="N13"/>
    <cellWatch r="A14"/>
    <cellWatch r="B14"/>
    <cellWatch r="C14"/>
    <cellWatch r="D14"/>
    <cellWatch r="E14"/>
    <cellWatch r="F14"/>
    <cellWatch r="G14"/>
    <cellWatch r="H14"/>
    <cellWatch r="I14"/>
    <cellWatch r="J14"/>
    <cellWatch r="K14"/>
    <cellWatch r="L14"/>
    <cellWatch r="M14"/>
    <cellWatch r="N14"/>
    <cellWatch r="A15"/>
    <cellWatch r="B15"/>
    <cellWatch r="C15"/>
    <cellWatch r="D15"/>
    <cellWatch r="E15"/>
    <cellWatch r="F15"/>
    <cellWatch r="G15"/>
    <cellWatch r="H15"/>
    <cellWatch r="I15"/>
    <cellWatch r="J15"/>
    <cellWatch r="K15"/>
    <cellWatch r="L15"/>
    <cellWatch r="M15"/>
    <cellWatch r="N15"/>
    <cellWatch r="A16"/>
    <cellWatch r="B16"/>
    <cellWatch r="C16"/>
    <cellWatch r="D16"/>
    <cellWatch r="E16"/>
    <cellWatch r="F16"/>
    <cellWatch r="G16"/>
    <cellWatch r="H16"/>
    <cellWatch r="I16"/>
    <cellWatch r="J16"/>
    <cellWatch r="K16"/>
    <cellWatch r="L16"/>
    <cellWatch r="M16"/>
    <cellWatch r="N16"/>
    <cellWatch r="A17"/>
    <cellWatch r="B17"/>
    <cellWatch r="C17"/>
    <cellWatch r="D17"/>
    <cellWatch r="E17"/>
    <cellWatch r="F17"/>
    <cellWatch r="G17"/>
    <cellWatch r="H17"/>
    <cellWatch r="I17"/>
    <cellWatch r="J17"/>
    <cellWatch r="K17"/>
    <cellWatch r="L17"/>
    <cellWatch r="M17"/>
    <cellWatch r="N17"/>
    <cellWatch r="A18"/>
    <cellWatch r="B18"/>
    <cellWatch r="C18"/>
    <cellWatch r="D18"/>
    <cellWatch r="E18"/>
    <cellWatch r="F18"/>
    <cellWatch r="G18"/>
    <cellWatch r="H18"/>
    <cellWatch r="I18"/>
    <cellWatch r="J18"/>
    <cellWatch r="K18"/>
    <cellWatch r="L18"/>
    <cellWatch r="M18"/>
    <cellWatch r="N18"/>
    <cellWatch r="A19"/>
    <cellWatch r="B19"/>
    <cellWatch r="C19"/>
    <cellWatch r="D19"/>
    <cellWatch r="E19"/>
    <cellWatch r="F19"/>
    <cellWatch r="G19"/>
    <cellWatch r="H19"/>
    <cellWatch r="I19"/>
    <cellWatch r="J19"/>
    <cellWatch r="K19"/>
    <cellWatch r="L19"/>
    <cellWatch r="M19"/>
    <cellWatch r="N19"/>
    <cellWatch r="A20"/>
    <cellWatch r="B20"/>
    <cellWatch r="C20"/>
    <cellWatch r="D20"/>
    <cellWatch r="E20"/>
    <cellWatch r="F20"/>
    <cellWatch r="G20"/>
    <cellWatch r="H20"/>
    <cellWatch r="I20"/>
    <cellWatch r="J20"/>
    <cellWatch r="K20"/>
    <cellWatch r="L20"/>
    <cellWatch r="M20"/>
    <cellWatch r="N20"/>
    <cellWatch r="A21"/>
    <cellWatch r="B21"/>
    <cellWatch r="C21"/>
    <cellWatch r="D21"/>
    <cellWatch r="E21"/>
    <cellWatch r="F21"/>
    <cellWatch r="G21"/>
    <cellWatch r="H21"/>
    <cellWatch r="I21"/>
    <cellWatch r="J21"/>
    <cellWatch r="K21"/>
    <cellWatch r="L21"/>
    <cellWatch r="M21"/>
    <cellWatch r="N21"/>
    <cellWatch r="A22"/>
    <cellWatch r="B22"/>
    <cellWatch r="C22"/>
    <cellWatch r="D22"/>
    <cellWatch r="E22"/>
    <cellWatch r="F22"/>
    <cellWatch r="G22"/>
    <cellWatch r="H22"/>
    <cellWatch r="I22"/>
    <cellWatch r="J22"/>
    <cellWatch r="K22"/>
    <cellWatch r="L22"/>
    <cellWatch r="M22"/>
    <cellWatch r="N22"/>
    <cellWatch r="A23"/>
    <cellWatch r="B23"/>
    <cellWatch r="C23"/>
    <cellWatch r="D23"/>
    <cellWatch r="E23"/>
    <cellWatch r="F23"/>
    <cellWatch r="G23"/>
    <cellWatch r="H23"/>
    <cellWatch r="I23"/>
    <cellWatch r="J23"/>
    <cellWatch r="K23"/>
    <cellWatch r="L23"/>
    <cellWatch r="M23"/>
    <cellWatch r="N23"/>
    <cellWatch r="A24"/>
    <cellWatch r="B24"/>
    <cellWatch r="C24"/>
    <cellWatch r="D24"/>
    <cellWatch r="E24"/>
    <cellWatch r="F24"/>
    <cellWatch r="G24"/>
    <cellWatch r="H24"/>
    <cellWatch r="I24"/>
    <cellWatch r="J24"/>
    <cellWatch r="K24"/>
    <cellWatch r="L24"/>
    <cellWatch r="M24"/>
    <cellWatch r="N24"/>
    <cellWatch r="A25"/>
    <cellWatch r="B25"/>
    <cellWatch r="C25"/>
    <cellWatch r="D25"/>
    <cellWatch r="E25"/>
    <cellWatch r="F25"/>
    <cellWatch r="G25"/>
    <cellWatch r="H25"/>
    <cellWatch r="I25"/>
    <cellWatch r="J25"/>
    <cellWatch r="K25"/>
    <cellWatch r="L25"/>
    <cellWatch r="M25"/>
    <cellWatch r="N25"/>
    <cellWatch r="A26"/>
    <cellWatch r="B26"/>
    <cellWatch r="C26"/>
    <cellWatch r="D26"/>
    <cellWatch r="E26"/>
    <cellWatch r="F26"/>
    <cellWatch r="G26"/>
    <cellWatch r="H26"/>
    <cellWatch r="I26"/>
    <cellWatch r="J26"/>
    <cellWatch r="K26"/>
    <cellWatch r="L26"/>
    <cellWatch r="M26"/>
    <cellWatch r="N26"/>
    <cellWatch r="A27"/>
    <cellWatch r="B27"/>
    <cellWatch r="C27"/>
    <cellWatch r="D27"/>
    <cellWatch r="E27"/>
    <cellWatch r="F27"/>
    <cellWatch r="G27"/>
    <cellWatch r="H27"/>
    <cellWatch r="I27"/>
    <cellWatch r="J27"/>
    <cellWatch r="K27"/>
    <cellWatch r="L27"/>
    <cellWatch r="M27"/>
    <cellWatch r="N27"/>
    <cellWatch r="A28"/>
    <cellWatch r="B28"/>
    <cellWatch r="C28"/>
    <cellWatch r="D28"/>
    <cellWatch r="E28"/>
    <cellWatch r="F28"/>
    <cellWatch r="G28"/>
    <cellWatch r="H28"/>
    <cellWatch r="I28"/>
    <cellWatch r="J28"/>
    <cellWatch r="K28"/>
    <cellWatch r="L28"/>
    <cellWatch r="M28"/>
    <cellWatch r="N28"/>
    <cellWatch r="A29"/>
    <cellWatch r="B29"/>
    <cellWatch r="C29"/>
    <cellWatch r="D29"/>
    <cellWatch r="E29"/>
    <cellWatch r="F29"/>
    <cellWatch r="G29"/>
    <cellWatch r="H29"/>
    <cellWatch r="I29"/>
    <cellWatch r="J29"/>
    <cellWatch r="K29"/>
    <cellWatch r="L29"/>
    <cellWatch r="M29"/>
    <cellWatch r="N29"/>
    <cellWatch r="A30"/>
    <cellWatch r="B30"/>
    <cellWatch r="C30"/>
    <cellWatch r="D30"/>
    <cellWatch r="E30"/>
    <cellWatch r="F30"/>
    <cellWatch r="G30"/>
    <cellWatch r="H30"/>
    <cellWatch r="I30"/>
    <cellWatch r="J30"/>
    <cellWatch r="K30"/>
    <cellWatch r="L30"/>
    <cellWatch r="M30"/>
    <cellWatch r="N30"/>
    <cellWatch r="A31"/>
    <cellWatch r="B31"/>
    <cellWatch r="C31"/>
    <cellWatch r="D31"/>
    <cellWatch r="E31"/>
    <cellWatch r="F31"/>
    <cellWatch r="G31"/>
    <cellWatch r="H31"/>
    <cellWatch r="I31"/>
    <cellWatch r="J31"/>
    <cellWatch r="K31"/>
    <cellWatch r="L31"/>
    <cellWatch r="M31"/>
    <cellWatch r="N31"/>
    <cellWatch r="A32"/>
    <cellWatch r="B32"/>
    <cellWatch r="C32"/>
    <cellWatch r="D32"/>
    <cellWatch r="E32"/>
    <cellWatch r="F32"/>
    <cellWatch r="G32"/>
    <cellWatch r="H32"/>
    <cellWatch r="I32"/>
    <cellWatch r="J32"/>
    <cellWatch r="K32"/>
    <cellWatch r="L32"/>
    <cellWatch r="M32"/>
    <cellWatch r="N32"/>
    <cellWatch r="A33"/>
    <cellWatch r="B33"/>
    <cellWatch r="C33"/>
    <cellWatch r="D33"/>
    <cellWatch r="E33"/>
    <cellWatch r="F33"/>
    <cellWatch r="G33"/>
    <cellWatch r="H33"/>
    <cellWatch r="I33"/>
    <cellWatch r="J33"/>
    <cellWatch r="K33"/>
    <cellWatch r="L33"/>
    <cellWatch r="M33"/>
    <cellWatch r="N33"/>
    <cellWatch r="A34"/>
    <cellWatch r="B34"/>
    <cellWatch r="C34"/>
    <cellWatch r="D34"/>
    <cellWatch r="E34"/>
    <cellWatch r="F34"/>
    <cellWatch r="G34"/>
    <cellWatch r="H34"/>
    <cellWatch r="I34"/>
    <cellWatch r="J34"/>
    <cellWatch r="K34"/>
    <cellWatch r="L34"/>
    <cellWatch r="M34"/>
    <cellWatch r="N34"/>
    <cellWatch r="A35"/>
    <cellWatch r="B35"/>
    <cellWatch r="C35"/>
    <cellWatch r="D35"/>
    <cellWatch r="E35"/>
    <cellWatch r="F35"/>
    <cellWatch r="G35"/>
    <cellWatch r="H35"/>
    <cellWatch r="I35"/>
    <cellWatch r="J35"/>
    <cellWatch r="K35"/>
    <cellWatch r="L35"/>
    <cellWatch r="M35"/>
    <cellWatch r="N35"/>
    <cellWatch r="A36"/>
    <cellWatch r="B36"/>
    <cellWatch r="C36"/>
    <cellWatch r="D36"/>
    <cellWatch r="E36"/>
    <cellWatch r="F36"/>
    <cellWatch r="G36"/>
    <cellWatch r="H36"/>
    <cellWatch r="I36"/>
    <cellWatch r="J36"/>
    <cellWatch r="K36"/>
    <cellWatch r="L36"/>
    <cellWatch r="M36"/>
    <cellWatch r="N36"/>
    <cellWatch r="A37"/>
    <cellWatch r="B37"/>
    <cellWatch r="C37"/>
    <cellWatch r="D37"/>
    <cellWatch r="E37"/>
    <cellWatch r="F37"/>
    <cellWatch r="G37"/>
    <cellWatch r="H37"/>
    <cellWatch r="I37"/>
    <cellWatch r="J37"/>
    <cellWatch r="K37"/>
    <cellWatch r="L37"/>
    <cellWatch r="M37"/>
    <cellWatch r="N37"/>
    <cellWatch r="A38"/>
    <cellWatch r="B38"/>
    <cellWatch r="C38"/>
    <cellWatch r="D38"/>
    <cellWatch r="E38"/>
    <cellWatch r="F38"/>
    <cellWatch r="G38"/>
    <cellWatch r="H38"/>
    <cellWatch r="I38"/>
    <cellWatch r="J38"/>
    <cellWatch r="K38"/>
    <cellWatch r="L38"/>
    <cellWatch r="M38"/>
    <cellWatch r="N38"/>
    <cellWatch r="A39"/>
    <cellWatch r="B39"/>
    <cellWatch r="C39"/>
    <cellWatch r="D39"/>
    <cellWatch r="E39"/>
    <cellWatch r="F39"/>
    <cellWatch r="G39"/>
    <cellWatch r="H39"/>
    <cellWatch r="I39"/>
    <cellWatch r="J39"/>
    <cellWatch r="K39"/>
    <cellWatch r="L39"/>
    <cellWatch r="M39"/>
    <cellWatch r="N39"/>
    <cellWatch r="A40"/>
    <cellWatch r="B40"/>
    <cellWatch r="C40"/>
    <cellWatch r="D40"/>
    <cellWatch r="E40"/>
    <cellWatch r="F40"/>
    <cellWatch r="G40"/>
    <cellWatch r="H40"/>
    <cellWatch r="I40"/>
    <cellWatch r="J40"/>
    <cellWatch r="K40"/>
    <cellWatch r="L40"/>
    <cellWatch r="M40"/>
    <cellWatch r="N40"/>
    <cellWatch r="A41"/>
    <cellWatch r="B41"/>
    <cellWatch r="C41"/>
    <cellWatch r="D41"/>
    <cellWatch r="E41"/>
    <cellWatch r="F41"/>
    <cellWatch r="G41"/>
    <cellWatch r="H41"/>
    <cellWatch r="I41"/>
    <cellWatch r="J41"/>
    <cellWatch r="K41"/>
    <cellWatch r="L41"/>
    <cellWatch r="M41"/>
    <cellWatch r="N41"/>
    <cellWatch r="A42"/>
    <cellWatch r="B42"/>
    <cellWatch r="C42"/>
    <cellWatch r="D42"/>
    <cellWatch r="E42"/>
    <cellWatch r="F42"/>
    <cellWatch r="G42"/>
    <cellWatch r="H42"/>
    <cellWatch r="I42"/>
    <cellWatch r="J42"/>
    <cellWatch r="K42"/>
    <cellWatch r="L42"/>
    <cellWatch r="M42"/>
    <cellWatch r="N42"/>
    <cellWatch r="A43"/>
    <cellWatch r="B43"/>
    <cellWatch r="C43"/>
    <cellWatch r="D43"/>
    <cellWatch r="E43"/>
    <cellWatch r="F43"/>
    <cellWatch r="G43"/>
    <cellWatch r="H43"/>
    <cellWatch r="I43"/>
    <cellWatch r="J43"/>
    <cellWatch r="K43"/>
    <cellWatch r="L43"/>
    <cellWatch r="M43"/>
    <cellWatch r="N43"/>
    <cellWatch r="A44"/>
    <cellWatch r="B44"/>
    <cellWatch r="C44"/>
    <cellWatch r="D44"/>
    <cellWatch r="E44"/>
    <cellWatch r="F44"/>
    <cellWatch r="G44"/>
    <cellWatch r="H44"/>
    <cellWatch r="I44"/>
    <cellWatch r="J44"/>
    <cellWatch r="K44"/>
    <cellWatch r="L44"/>
    <cellWatch r="M44"/>
    <cellWatch r="N44"/>
    <cellWatch r="A45"/>
    <cellWatch r="B45"/>
    <cellWatch r="C45"/>
    <cellWatch r="D45"/>
    <cellWatch r="E45"/>
    <cellWatch r="F45"/>
    <cellWatch r="G45"/>
    <cellWatch r="H45"/>
    <cellWatch r="I45"/>
    <cellWatch r="J45"/>
    <cellWatch r="K45"/>
    <cellWatch r="L45"/>
    <cellWatch r="M45"/>
    <cellWatch r="N45"/>
    <cellWatch r="A46"/>
    <cellWatch r="B46"/>
    <cellWatch r="C46"/>
    <cellWatch r="D46"/>
    <cellWatch r="E46"/>
    <cellWatch r="F46"/>
    <cellWatch r="G46"/>
    <cellWatch r="H46"/>
    <cellWatch r="I46"/>
    <cellWatch r="J46"/>
    <cellWatch r="K46"/>
    <cellWatch r="L46"/>
    <cellWatch r="M46"/>
    <cellWatch r="N46"/>
    <cellWatch r="A47"/>
    <cellWatch r="B47"/>
    <cellWatch r="C47"/>
    <cellWatch r="D47"/>
    <cellWatch r="E47"/>
    <cellWatch r="F47"/>
    <cellWatch r="G47"/>
    <cellWatch r="H47"/>
    <cellWatch r="I47"/>
    <cellWatch r="J47"/>
    <cellWatch r="K47"/>
    <cellWatch r="L47"/>
    <cellWatch r="M47"/>
    <cellWatch r="N47"/>
    <cellWatch r="A48"/>
    <cellWatch r="B48"/>
    <cellWatch r="C48"/>
    <cellWatch r="D48"/>
    <cellWatch r="E48"/>
    <cellWatch r="F48"/>
    <cellWatch r="G48"/>
    <cellWatch r="H48"/>
    <cellWatch r="I48"/>
    <cellWatch r="J48"/>
    <cellWatch r="K48"/>
    <cellWatch r="L48"/>
    <cellWatch r="M48"/>
    <cellWatch r="N48"/>
    <cellWatch r="A49"/>
    <cellWatch r="B49"/>
    <cellWatch r="C49"/>
    <cellWatch r="D49"/>
    <cellWatch r="E49"/>
    <cellWatch r="F49"/>
    <cellWatch r="G49"/>
    <cellWatch r="H49"/>
    <cellWatch r="I49"/>
    <cellWatch r="J49"/>
    <cellWatch r="K49"/>
    <cellWatch r="L49"/>
    <cellWatch r="M49"/>
    <cellWatch r="N49"/>
    <cellWatch r="A50"/>
    <cellWatch r="B50"/>
    <cellWatch r="C50"/>
    <cellWatch r="D50"/>
    <cellWatch r="E50"/>
    <cellWatch r="F50"/>
    <cellWatch r="G50"/>
    <cellWatch r="H50"/>
    <cellWatch r="I50"/>
    <cellWatch r="J50"/>
    <cellWatch r="K50"/>
    <cellWatch r="L50"/>
    <cellWatch r="M50"/>
    <cellWatch r="N50"/>
    <cellWatch r="A51"/>
    <cellWatch r="B51"/>
    <cellWatch r="C51"/>
    <cellWatch r="D51"/>
    <cellWatch r="E51"/>
    <cellWatch r="F51"/>
    <cellWatch r="G51"/>
    <cellWatch r="H51"/>
    <cellWatch r="I51"/>
    <cellWatch r="J51"/>
    <cellWatch r="K51"/>
    <cellWatch r="L51"/>
    <cellWatch r="M51"/>
    <cellWatch r="N51"/>
    <cellWatch r="A52"/>
    <cellWatch r="B52"/>
    <cellWatch r="C52"/>
    <cellWatch r="D52"/>
    <cellWatch r="E52"/>
    <cellWatch r="F52"/>
    <cellWatch r="G52"/>
    <cellWatch r="H52"/>
    <cellWatch r="I52"/>
    <cellWatch r="J52"/>
    <cellWatch r="K52"/>
    <cellWatch r="L52"/>
    <cellWatch r="M52"/>
    <cellWatch r="N52"/>
    <cellWatch r="A53"/>
    <cellWatch r="B53"/>
    <cellWatch r="C53"/>
    <cellWatch r="D53"/>
    <cellWatch r="E53"/>
    <cellWatch r="F53"/>
    <cellWatch r="G53"/>
    <cellWatch r="H53"/>
    <cellWatch r="I53"/>
    <cellWatch r="J53"/>
    <cellWatch r="K53"/>
    <cellWatch r="L53"/>
    <cellWatch r="M53"/>
    <cellWatch r="N53"/>
    <cellWatch r="A54"/>
    <cellWatch r="B54"/>
    <cellWatch r="C54"/>
    <cellWatch r="D54"/>
    <cellWatch r="E54"/>
    <cellWatch r="F54"/>
    <cellWatch r="G54"/>
    <cellWatch r="H54"/>
    <cellWatch r="I54"/>
    <cellWatch r="J54"/>
    <cellWatch r="K54"/>
    <cellWatch r="L54"/>
    <cellWatch r="M54"/>
    <cellWatch r="N54"/>
    <cellWatch r="A55"/>
    <cellWatch r="B55"/>
    <cellWatch r="C55"/>
    <cellWatch r="D55"/>
    <cellWatch r="E55"/>
    <cellWatch r="F55"/>
    <cellWatch r="G55"/>
    <cellWatch r="H55"/>
    <cellWatch r="I55"/>
    <cellWatch r="J55"/>
    <cellWatch r="K55"/>
    <cellWatch r="L55"/>
    <cellWatch r="M55"/>
    <cellWatch r="N55"/>
    <cellWatch r="A56"/>
    <cellWatch r="B56"/>
    <cellWatch r="C56"/>
    <cellWatch r="D56"/>
    <cellWatch r="E56"/>
    <cellWatch r="F56"/>
    <cellWatch r="G56"/>
    <cellWatch r="H56"/>
    <cellWatch r="I56"/>
    <cellWatch r="J56"/>
    <cellWatch r="K56"/>
    <cellWatch r="L56"/>
    <cellWatch r="M56"/>
    <cellWatch r="N56"/>
    <cellWatch r="A57"/>
    <cellWatch r="B57"/>
    <cellWatch r="C57"/>
    <cellWatch r="D57"/>
    <cellWatch r="E57"/>
    <cellWatch r="F57"/>
    <cellWatch r="G57"/>
    <cellWatch r="H57"/>
    <cellWatch r="I57"/>
    <cellWatch r="J57"/>
    <cellWatch r="K57"/>
    <cellWatch r="L57"/>
    <cellWatch r="M57"/>
    <cellWatch r="N57"/>
    <cellWatch r="A58"/>
    <cellWatch r="B58"/>
    <cellWatch r="C58"/>
    <cellWatch r="D58"/>
    <cellWatch r="E58"/>
    <cellWatch r="F58"/>
    <cellWatch r="G58"/>
    <cellWatch r="H58"/>
    <cellWatch r="I58"/>
    <cellWatch r="J58"/>
    <cellWatch r="K58"/>
    <cellWatch r="L58"/>
    <cellWatch r="M58"/>
    <cellWatch r="N58"/>
    <cellWatch r="A59"/>
    <cellWatch r="B59"/>
    <cellWatch r="C59"/>
    <cellWatch r="D59"/>
    <cellWatch r="E59"/>
    <cellWatch r="F59"/>
    <cellWatch r="G59"/>
    <cellWatch r="H59"/>
    <cellWatch r="I59"/>
    <cellWatch r="J59"/>
    <cellWatch r="K59"/>
    <cellWatch r="L59"/>
    <cellWatch r="M59"/>
    <cellWatch r="N59"/>
    <cellWatch r="A60"/>
    <cellWatch r="B60"/>
    <cellWatch r="C60"/>
    <cellWatch r="D60"/>
    <cellWatch r="E60"/>
    <cellWatch r="F60"/>
    <cellWatch r="G60"/>
    <cellWatch r="H60"/>
    <cellWatch r="I60"/>
    <cellWatch r="J60"/>
    <cellWatch r="K60"/>
    <cellWatch r="L60"/>
    <cellWatch r="M60"/>
    <cellWatch r="N60"/>
    <cellWatch r="A61"/>
    <cellWatch r="B61"/>
    <cellWatch r="C61"/>
    <cellWatch r="D61"/>
    <cellWatch r="E61"/>
    <cellWatch r="F61"/>
    <cellWatch r="G61"/>
    <cellWatch r="H61"/>
    <cellWatch r="I61"/>
    <cellWatch r="J61"/>
    <cellWatch r="K61"/>
    <cellWatch r="L61"/>
    <cellWatch r="M61"/>
    <cellWatch r="N61"/>
    <cellWatch r="A62"/>
    <cellWatch r="B62"/>
    <cellWatch r="C62"/>
    <cellWatch r="D62"/>
    <cellWatch r="E62"/>
    <cellWatch r="F62"/>
    <cellWatch r="G62"/>
    <cellWatch r="H62"/>
    <cellWatch r="I62"/>
    <cellWatch r="J62"/>
    <cellWatch r="K62"/>
    <cellWatch r="L62"/>
    <cellWatch r="M62"/>
    <cellWatch r="N62"/>
    <cellWatch r="A63"/>
    <cellWatch r="B63"/>
    <cellWatch r="C63"/>
    <cellWatch r="D63"/>
    <cellWatch r="E63"/>
    <cellWatch r="F63"/>
    <cellWatch r="G63"/>
    <cellWatch r="H63"/>
    <cellWatch r="I63"/>
    <cellWatch r="J63"/>
    <cellWatch r="K63"/>
    <cellWatch r="L63"/>
    <cellWatch r="M63"/>
    <cellWatch r="N63"/>
    <cellWatch r="A64"/>
    <cellWatch r="B64"/>
    <cellWatch r="C64"/>
    <cellWatch r="D64"/>
    <cellWatch r="E64"/>
    <cellWatch r="F64"/>
    <cellWatch r="G64"/>
    <cellWatch r="H64"/>
    <cellWatch r="I64"/>
    <cellWatch r="J64"/>
    <cellWatch r="K64"/>
    <cellWatch r="L64"/>
    <cellWatch r="M64"/>
    <cellWatch r="N64"/>
    <cellWatch r="A65"/>
    <cellWatch r="B65"/>
    <cellWatch r="C65"/>
    <cellWatch r="D65"/>
    <cellWatch r="E65"/>
    <cellWatch r="F65"/>
    <cellWatch r="G65"/>
    <cellWatch r="H65"/>
    <cellWatch r="I65"/>
    <cellWatch r="J65"/>
    <cellWatch r="K65"/>
    <cellWatch r="L65"/>
    <cellWatch r="M65"/>
    <cellWatch r="N65"/>
    <cellWatch r="A66"/>
    <cellWatch r="B66"/>
    <cellWatch r="C66"/>
    <cellWatch r="D66"/>
    <cellWatch r="E66"/>
    <cellWatch r="F66"/>
    <cellWatch r="G66"/>
    <cellWatch r="H66"/>
    <cellWatch r="I66"/>
    <cellWatch r="J66"/>
    <cellWatch r="K66"/>
    <cellWatch r="L66"/>
    <cellWatch r="M66"/>
    <cellWatch r="N66"/>
    <cellWatch r="A67"/>
    <cellWatch r="B67"/>
    <cellWatch r="C67"/>
    <cellWatch r="D67"/>
    <cellWatch r="E67"/>
    <cellWatch r="F67"/>
    <cellWatch r="G67"/>
    <cellWatch r="H67"/>
    <cellWatch r="I67"/>
    <cellWatch r="J67"/>
    <cellWatch r="K67"/>
    <cellWatch r="L67"/>
    <cellWatch r="M67"/>
    <cellWatch r="N67"/>
    <cellWatch r="A68"/>
    <cellWatch r="B68"/>
    <cellWatch r="C68"/>
    <cellWatch r="D68"/>
    <cellWatch r="E68"/>
    <cellWatch r="F68"/>
    <cellWatch r="G68"/>
    <cellWatch r="H68"/>
    <cellWatch r="I68"/>
    <cellWatch r="J68"/>
    <cellWatch r="K68"/>
    <cellWatch r="L68"/>
    <cellWatch r="M68"/>
    <cellWatch r="N68"/>
    <cellWatch r="A69"/>
    <cellWatch r="B69"/>
    <cellWatch r="C69"/>
    <cellWatch r="D69"/>
    <cellWatch r="E69"/>
    <cellWatch r="F69"/>
    <cellWatch r="G69"/>
    <cellWatch r="H69"/>
    <cellWatch r="I69"/>
    <cellWatch r="J69"/>
    <cellWatch r="K69"/>
    <cellWatch r="L69"/>
    <cellWatch r="M69"/>
    <cellWatch r="N69"/>
    <cellWatch r="A70"/>
    <cellWatch r="B70"/>
    <cellWatch r="C70"/>
    <cellWatch r="D70"/>
    <cellWatch r="E70"/>
    <cellWatch r="F70"/>
    <cellWatch r="G70"/>
    <cellWatch r="H70"/>
    <cellWatch r="I70"/>
    <cellWatch r="J70"/>
    <cellWatch r="K70"/>
    <cellWatch r="L70"/>
    <cellWatch r="M70"/>
    <cellWatch r="N70"/>
    <cellWatch r="A71"/>
    <cellWatch r="B71"/>
    <cellWatch r="C71"/>
    <cellWatch r="D71"/>
    <cellWatch r="E71"/>
    <cellWatch r="F71"/>
    <cellWatch r="G71"/>
    <cellWatch r="H71"/>
    <cellWatch r="I71"/>
    <cellWatch r="J71"/>
    <cellWatch r="K71"/>
    <cellWatch r="L71"/>
    <cellWatch r="M71"/>
    <cellWatch r="N71"/>
    <cellWatch r="A72"/>
    <cellWatch r="B72"/>
    <cellWatch r="C72"/>
    <cellWatch r="D72"/>
    <cellWatch r="E72"/>
    <cellWatch r="F72"/>
    <cellWatch r="G72"/>
    <cellWatch r="H72"/>
    <cellWatch r="I72"/>
    <cellWatch r="J72"/>
    <cellWatch r="K72"/>
    <cellWatch r="L72"/>
    <cellWatch r="M72"/>
    <cellWatch r="N72"/>
    <cellWatch r="A73"/>
    <cellWatch r="B73"/>
    <cellWatch r="C73"/>
    <cellWatch r="D73"/>
    <cellWatch r="E73"/>
    <cellWatch r="F73"/>
    <cellWatch r="G73"/>
    <cellWatch r="H73"/>
    <cellWatch r="I73"/>
    <cellWatch r="J73"/>
    <cellWatch r="K73"/>
    <cellWatch r="L73"/>
    <cellWatch r="M73"/>
    <cellWatch r="N73"/>
    <cellWatch r="A74"/>
    <cellWatch r="B74"/>
    <cellWatch r="C74"/>
    <cellWatch r="D74"/>
    <cellWatch r="E74"/>
    <cellWatch r="F74"/>
    <cellWatch r="G74"/>
    <cellWatch r="H74"/>
    <cellWatch r="I74"/>
    <cellWatch r="J74"/>
    <cellWatch r="K74"/>
    <cellWatch r="L74"/>
    <cellWatch r="M74"/>
    <cellWatch r="N74"/>
    <cellWatch r="A75"/>
    <cellWatch r="B75"/>
    <cellWatch r="C75"/>
    <cellWatch r="D75"/>
    <cellWatch r="E75"/>
    <cellWatch r="F75"/>
    <cellWatch r="G75"/>
    <cellWatch r="H75"/>
    <cellWatch r="I75"/>
    <cellWatch r="J75"/>
    <cellWatch r="K75"/>
    <cellWatch r="L75"/>
    <cellWatch r="M75"/>
    <cellWatch r="N75"/>
    <cellWatch r="A76"/>
    <cellWatch r="B76"/>
    <cellWatch r="C76"/>
    <cellWatch r="D76"/>
    <cellWatch r="E76"/>
    <cellWatch r="F76"/>
    <cellWatch r="G76"/>
    <cellWatch r="H76"/>
    <cellWatch r="I76"/>
    <cellWatch r="J76"/>
    <cellWatch r="K76"/>
    <cellWatch r="L76"/>
    <cellWatch r="M76"/>
    <cellWatch r="N76"/>
    <cellWatch r="A77"/>
    <cellWatch r="B77"/>
    <cellWatch r="C77"/>
    <cellWatch r="D77"/>
    <cellWatch r="E77"/>
    <cellWatch r="F77"/>
    <cellWatch r="G77"/>
    <cellWatch r="H77"/>
    <cellWatch r="I77"/>
    <cellWatch r="J77"/>
    <cellWatch r="K77"/>
    <cellWatch r="L77"/>
    <cellWatch r="M77"/>
    <cellWatch r="N77"/>
    <cellWatch r="A78"/>
    <cellWatch r="B78"/>
    <cellWatch r="C78"/>
    <cellWatch r="D78"/>
    <cellWatch r="E78"/>
    <cellWatch r="F78"/>
    <cellWatch r="G78"/>
    <cellWatch r="H78"/>
    <cellWatch r="I78"/>
    <cellWatch r="J78"/>
    <cellWatch r="K78"/>
    <cellWatch r="L78"/>
    <cellWatch r="M78"/>
    <cellWatch r="N78"/>
    <cellWatch r="A79"/>
    <cellWatch r="B79"/>
    <cellWatch r="C79"/>
    <cellWatch r="D79"/>
    <cellWatch r="E79"/>
    <cellWatch r="F79"/>
    <cellWatch r="G79"/>
    <cellWatch r="H79"/>
    <cellWatch r="I79"/>
    <cellWatch r="J79"/>
    <cellWatch r="K79"/>
    <cellWatch r="L79"/>
    <cellWatch r="M79"/>
    <cellWatch r="N79"/>
    <cellWatch r="A80"/>
    <cellWatch r="B80"/>
    <cellWatch r="C80"/>
    <cellWatch r="D80"/>
    <cellWatch r="E80"/>
    <cellWatch r="F80"/>
    <cellWatch r="G80"/>
    <cellWatch r="H80"/>
    <cellWatch r="I80"/>
    <cellWatch r="J80"/>
    <cellWatch r="K80"/>
    <cellWatch r="L80"/>
    <cellWatch r="M80"/>
    <cellWatch r="N80"/>
    <cellWatch r="A81"/>
    <cellWatch r="B81"/>
    <cellWatch r="C81"/>
    <cellWatch r="D81"/>
    <cellWatch r="E81"/>
    <cellWatch r="F81"/>
    <cellWatch r="G81"/>
    <cellWatch r="H81"/>
    <cellWatch r="I81"/>
    <cellWatch r="J81"/>
    <cellWatch r="K81"/>
    <cellWatch r="L81"/>
    <cellWatch r="M81"/>
    <cellWatch r="N81"/>
    <cellWatch r="A82"/>
    <cellWatch r="B82"/>
    <cellWatch r="C82"/>
    <cellWatch r="D82"/>
    <cellWatch r="E82"/>
    <cellWatch r="F82"/>
    <cellWatch r="G82"/>
    <cellWatch r="H82"/>
    <cellWatch r="I82"/>
    <cellWatch r="J82"/>
    <cellWatch r="K82"/>
    <cellWatch r="L82"/>
    <cellWatch r="M82"/>
    <cellWatch r="N82"/>
    <cellWatch r="A83"/>
    <cellWatch r="B83"/>
    <cellWatch r="C83"/>
    <cellWatch r="D83"/>
    <cellWatch r="E83"/>
    <cellWatch r="F83"/>
    <cellWatch r="G83"/>
    <cellWatch r="H83"/>
    <cellWatch r="I83"/>
    <cellWatch r="J83"/>
    <cellWatch r="K83"/>
    <cellWatch r="L83"/>
    <cellWatch r="M83"/>
    <cellWatch r="N83"/>
    <cellWatch r="A84"/>
    <cellWatch r="B84"/>
    <cellWatch r="C84"/>
    <cellWatch r="D84"/>
    <cellWatch r="E84"/>
    <cellWatch r="F84"/>
    <cellWatch r="G84"/>
    <cellWatch r="H84"/>
    <cellWatch r="I84"/>
    <cellWatch r="J84"/>
    <cellWatch r="K84"/>
    <cellWatch r="L84"/>
    <cellWatch r="M84"/>
    <cellWatch r="N84"/>
    <cellWatch r="A85"/>
    <cellWatch r="B85"/>
    <cellWatch r="C85"/>
    <cellWatch r="D85"/>
    <cellWatch r="E85"/>
    <cellWatch r="F85"/>
    <cellWatch r="G85"/>
    <cellWatch r="H85"/>
    <cellWatch r="I85"/>
    <cellWatch r="J85"/>
    <cellWatch r="K85"/>
    <cellWatch r="L85"/>
    <cellWatch r="M85"/>
    <cellWatch r="N85"/>
    <cellWatch r="A86"/>
    <cellWatch r="B86"/>
    <cellWatch r="C86"/>
    <cellWatch r="D86"/>
    <cellWatch r="E86"/>
    <cellWatch r="F86"/>
    <cellWatch r="G86"/>
    <cellWatch r="H86"/>
    <cellWatch r="I86"/>
    <cellWatch r="J86"/>
    <cellWatch r="K86"/>
    <cellWatch r="L86"/>
    <cellWatch r="M86"/>
    <cellWatch r="N86"/>
    <cellWatch r="A87"/>
    <cellWatch r="B87"/>
    <cellWatch r="C87"/>
    <cellWatch r="D87"/>
    <cellWatch r="E87"/>
    <cellWatch r="F87"/>
    <cellWatch r="G87"/>
    <cellWatch r="H87"/>
    <cellWatch r="I87"/>
    <cellWatch r="J87"/>
    <cellWatch r="K87"/>
    <cellWatch r="L87"/>
    <cellWatch r="M87"/>
    <cellWatch r="N87"/>
    <cellWatch r="A88"/>
    <cellWatch r="B88"/>
    <cellWatch r="C88"/>
    <cellWatch r="D88"/>
    <cellWatch r="E88"/>
    <cellWatch r="F88"/>
    <cellWatch r="G88"/>
    <cellWatch r="H88"/>
    <cellWatch r="I88"/>
    <cellWatch r="J88"/>
    <cellWatch r="K88"/>
    <cellWatch r="L88"/>
    <cellWatch r="M88"/>
    <cellWatch r="N88"/>
    <cellWatch r="A89"/>
    <cellWatch r="B89"/>
    <cellWatch r="C89"/>
    <cellWatch r="D89"/>
    <cellWatch r="E89"/>
    <cellWatch r="F89"/>
    <cellWatch r="G89"/>
    <cellWatch r="H89"/>
    <cellWatch r="I89"/>
    <cellWatch r="J89"/>
    <cellWatch r="K89"/>
    <cellWatch r="L89"/>
    <cellWatch r="M89"/>
    <cellWatch r="N89"/>
    <cellWatch r="A90"/>
    <cellWatch r="B90"/>
    <cellWatch r="C90"/>
    <cellWatch r="D90"/>
    <cellWatch r="E90"/>
    <cellWatch r="F90"/>
    <cellWatch r="G90"/>
    <cellWatch r="H90"/>
    <cellWatch r="I90"/>
    <cellWatch r="J90"/>
    <cellWatch r="K90"/>
    <cellWatch r="L90"/>
    <cellWatch r="M90"/>
    <cellWatch r="N90"/>
    <cellWatch r="A91"/>
    <cellWatch r="B91"/>
    <cellWatch r="C91"/>
    <cellWatch r="D91"/>
    <cellWatch r="E91"/>
    <cellWatch r="F91"/>
    <cellWatch r="G91"/>
    <cellWatch r="H91"/>
    <cellWatch r="I91"/>
    <cellWatch r="J91"/>
    <cellWatch r="K91"/>
    <cellWatch r="L91"/>
    <cellWatch r="M91"/>
    <cellWatch r="N91"/>
    <cellWatch r="A92"/>
    <cellWatch r="B92"/>
    <cellWatch r="C92"/>
    <cellWatch r="D92"/>
    <cellWatch r="E92"/>
    <cellWatch r="F92"/>
    <cellWatch r="G92"/>
    <cellWatch r="H92"/>
    <cellWatch r="I92"/>
    <cellWatch r="J92"/>
    <cellWatch r="K92"/>
    <cellWatch r="L92"/>
    <cellWatch r="M92"/>
    <cellWatch r="N92"/>
    <cellWatch r="A93"/>
    <cellWatch r="B93"/>
    <cellWatch r="C93"/>
    <cellWatch r="D93"/>
    <cellWatch r="E93"/>
    <cellWatch r="F93"/>
    <cellWatch r="G93"/>
    <cellWatch r="H93"/>
    <cellWatch r="I93"/>
    <cellWatch r="J93"/>
    <cellWatch r="K93"/>
    <cellWatch r="L93"/>
    <cellWatch r="M93"/>
    <cellWatch r="N93"/>
    <cellWatch r="A94"/>
    <cellWatch r="B94"/>
    <cellWatch r="C94"/>
    <cellWatch r="D94"/>
    <cellWatch r="E94"/>
    <cellWatch r="F94"/>
    <cellWatch r="G94"/>
    <cellWatch r="H94"/>
    <cellWatch r="I94"/>
    <cellWatch r="J94"/>
    <cellWatch r="K94"/>
    <cellWatch r="L94"/>
    <cellWatch r="M94"/>
    <cellWatch r="N94"/>
    <cellWatch r="A95"/>
    <cellWatch r="B95"/>
    <cellWatch r="C95"/>
    <cellWatch r="D95"/>
    <cellWatch r="E95"/>
    <cellWatch r="F95"/>
    <cellWatch r="G95"/>
    <cellWatch r="H95"/>
    <cellWatch r="I95"/>
    <cellWatch r="J95"/>
    <cellWatch r="K95"/>
    <cellWatch r="L95"/>
    <cellWatch r="M95"/>
    <cellWatch r="N95"/>
    <cellWatch r="A96"/>
    <cellWatch r="B96"/>
    <cellWatch r="C96"/>
    <cellWatch r="D96"/>
    <cellWatch r="E96"/>
    <cellWatch r="F96"/>
    <cellWatch r="G96"/>
    <cellWatch r="H96"/>
    <cellWatch r="I96"/>
    <cellWatch r="J96"/>
    <cellWatch r="K96"/>
    <cellWatch r="L96"/>
    <cellWatch r="M96"/>
    <cellWatch r="N96"/>
    <cellWatch r="A97"/>
    <cellWatch r="B97"/>
    <cellWatch r="C97"/>
    <cellWatch r="D97"/>
    <cellWatch r="E97"/>
    <cellWatch r="F97"/>
    <cellWatch r="G97"/>
    <cellWatch r="H97"/>
    <cellWatch r="I97"/>
    <cellWatch r="J97"/>
    <cellWatch r="K97"/>
    <cellWatch r="L97"/>
    <cellWatch r="M97"/>
    <cellWatch r="N97"/>
    <cellWatch r="A98"/>
    <cellWatch r="B98"/>
    <cellWatch r="C98"/>
    <cellWatch r="D98"/>
    <cellWatch r="E98"/>
    <cellWatch r="F98"/>
    <cellWatch r="G98"/>
    <cellWatch r="H98"/>
    <cellWatch r="I98"/>
    <cellWatch r="J98"/>
    <cellWatch r="K98"/>
    <cellWatch r="L98"/>
    <cellWatch r="M98"/>
    <cellWatch r="N98"/>
    <cellWatch r="A99"/>
    <cellWatch r="B99"/>
    <cellWatch r="C99"/>
    <cellWatch r="D99"/>
    <cellWatch r="E99"/>
    <cellWatch r="F99"/>
    <cellWatch r="G99"/>
    <cellWatch r="H99"/>
    <cellWatch r="I99"/>
    <cellWatch r="J99"/>
    <cellWatch r="K99"/>
    <cellWatch r="L99"/>
    <cellWatch r="M99"/>
    <cellWatch r="N99"/>
    <cellWatch r="A100"/>
    <cellWatch r="B100"/>
    <cellWatch r="C100"/>
    <cellWatch r="D100"/>
    <cellWatch r="E100"/>
    <cellWatch r="F100"/>
    <cellWatch r="G100"/>
    <cellWatch r="H100"/>
    <cellWatch r="I100"/>
    <cellWatch r="J100"/>
    <cellWatch r="K100"/>
    <cellWatch r="L100"/>
    <cellWatch r="M100"/>
    <cellWatch r="N100"/>
    <cellWatch r="A101"/>
    <cellWatch r="B101"/>
    <cellWatch r="C101"/>
    <cellWatch r="D101"/>
    <cellWatch r="E101"/>
    <cellWatch r="F101"/>
    <cellWatch r="G101"/>
    <cellWatch r="H101"/>
    <cellWatch r="I101"/>
    <cellWatch r="J101"/>
    <cellWatch r="K101"/>
    <cellWatch r="L101"/>
    <cellWatch r="M101"/>
    <cellWatch r="N101"/>
    <cellWatch r="A102"/>
    <cellWatch r="B102"/>
    <cellWatch r="C102"/>
    <cellWatch r="D102"/>
    <cellWatch r="E102"/>
    <cellWatch r="F102"/>
    <cellWatch r="G102"/>
    <cellWatch r="H102"/>
    <cellWatch r="I102"/>
    <cellWatch r="J102"/>
    <cellWatch r="K102"/>
    <cellWatch r="L102"/>
    <cellWatch r="M102"/>
    <cellWatch r="N102"/>
    <cellWatch r="A103"/>
    <cellWatch r="B103"/>
    <cellWatch r="C103"/>
    <cellWatch r="D103"/>
    <cellWatch r="E103"/>
    <cellWatch r="F103"/>
    <cellWatch r="G103"/>
    <cellWatch r="H103"/>
    <cellWatch r="I103"/>
    <cellWatch r="J103"/>
    <cellWatch r="K103"/>
    <cellWatch r="L103"/>
    <cellWatch r="M103"/>
    <cellWatch r="N103"/>
    <cellWatch r="A104"/>
    <cellWatch r="B104"/>
    <cellWatch r="C104"/>
    <cellWatch r="D104"/>
    <cellWatch r="E104"/>
    <cellWatch r="F104"/>
    <cellWatch r="G104"/>
    <cellWatch r="H104"/>
    <cellWatch r="I104"/>
    <cellWatch r="J104"/>
    <cellWatch r="K104"/>
    <cellWatch r="L104"/>
    <cellWatch r="M104"/>
    <cellWatch r="N104"/>
    <cellWatch r="A105"/>
    <cellWatch r="B105"/>
    <cellWatch r="C105"/>
    <cellWatch r="D105"/>
    <cellWatch r="E105"/>
    <cellWatch r="F105"/>
    <cellWatch r="G105"/>
    <cellWatch r="H105"/>
    <cellWatch r="I105"/>
    <cellWatch r="J105"/>
    <cellWatch r="K105"/>
    <cellWatch r="L105"/>
    <cellWatch r="M105"/>
    <cellWatch r="N105"/>
    <cellWatch r="A106"/>
    <cellWatch r="B106"/>
    <cellWatch r="C106"/>
    <cellWatch r="D106"/>
    <cellWatch r="E106"/>
    <cellWatch r="F106"/>
    <cellWatch r="G106"/>
    <cellWatch r="H106"/>
    <cellWatch r="I106"/>
    <cellWatch r="J106"/>
    <cellWatch r="K106"/>
    <cellWatch r="L106"/>
    <cellWatch r="M106"/>
    <cellWatch r="N106"/>
    <cellWatch r="A107"/>
    <cellWatch r="B107"/>
    <cellWatch r="C107"/>
    <cellWatch r="D107"/>
    <cellWatch r="E107"/>
    <cellWatch r="F107"/>
    <cellWatch r="G107"/>
    <cellWatch r="H107"/>
    <cellWatch r="I107"/>
    <cellWatch r="J107"/>
    <cellWatch r="K107"/>
    <cellWatch r="L107"/>
    <cellWatch r="M107"/>
    <cellWatch r="N107"/>
    <cellWatch r="A108"/>
    <cellWatch r="B108"/>
    <cellWatch r="C108"/>
    <cellWatch r="D108"/>
    <cellWatch r="E108"/>
    <cellWatch r="F108"/>
    <cellWatch r="G108"/>
    <cellWatch r="H108"/>
    <cellWatch r="I108"/>
    <cellWatch r="J108"/>
    <cellWatch r="K108"/>
    <cellWatch r="L108"/>
    <cellWatch r="M108"/>
    <cellWatch r="N108"/>
    <cellWatch r="A109"/>
    <cellWatch r="B109"/>
    <cellWatch r="C109"/>
    <cellWatch r="D109"/>
    <cellWatch r="E109"/>
    <cellWatch r="F109"/>
    <cellWatch r="G109"/>
    <cellWatch r="H109"/>
    <cellWatch r="I109"/>
    <cellWatch r="J109"/>
    <cellWatch r="K109"/>
    <cellWatch r="L109"/>
    <cellWatch r="M109"/>
    <cellWatch r="N109"/>
    <cellWatch r="A110"/>
    <cellWatch r="B110"/>
    <cellWatch r="C110"/>
    <cellWatch r="D110"/>
    <cellWatch r="E110"/>
    <cellWatch r="F110"/>
    <cellWatch r="G110"/>
    <cellWatch r="H110"/>
    <cellWatch r="I110"/>
    <cellWatch r="J110"/>
    <cellWatch r="K110"/>
    <cellWatch r="L110"/>
    <cellWatch r="M110"/>
    <cellWatch r="N110"/>
    <cellWatch r="A111"/>
    <cellWatch r="B111"/>
    <cellWatch r="C111"/>
    <cellWatch r="D111"/>
    <cellWatch r="E111"/>
    <cellWatch r="F111"/>
    <cellWatch r="G111"/>
    <cellWatch r="H111"/>
    <cellWatch r="I111"/>
    <cellWatch r="J111"/>
    <cellWatch r="K111"/>
    <cellWatch r="L111"/>
    <cellWatch r="M111"/>
    <cellWatch r="N111"/>
    <cellWatch r="A112"/>
    <cellWatch r="B112"/>
    <cellWatch r="C112"/>
    <cellWatch r="D112"/>
    <cellWatch r="E112"/>
    <cellWatch r="F112"/>
    <cellWatch r="G112"/>
    <cellWatch r="H112"/>
    <cellWatch r="I112"/>
    <cellWatch r="J112"/>
    <cellWatch r="K112"/>
    <cellWatch r="L112"/>
    <cellWatch r="M112"/>
    <cellWatch r="N112"/>
    <cellWatch r="A113"/>
    <cellWatch r="B113"/>
    <cellWatch r="C113"/>
    <cellWatch r="D113"/>
    <cellWatch r="E113"/>
    <cellWatch r="F113"/>
    <cellWatch r="G113"/>
    <cellWatch r="H113"/>
    <cellWatch r="I113"/>
    <cellWatch r="J113"/>
    <cellWatch r="K113"/>
    <cellWatch r="L113"/>
    <cellWatch r="M113"/>
    <cellWatch r="N113"/>
    <cellWatch r="A114"/>
    <cellWatch r="B114"/>
    <cellWatch r="C114"/>
    <cellWatch r="D114"/>
    <cellWatch r="E114"/>
    <cellWatch r="F114"/>
    <cellWatch r="G114"/>
    <cellWatch r="H114"/>
    <cellWatch r="I114"/>
    <cellWatch r="J114"/>
    <cellWatch r="K114"/>
    <cellWatch r="L114"/>
    <cellWatch r="M114"/>
    <cellWatch r="N114"/>
    <cellWatch r="A115"/>
    <cellWatch r="B115"/>
    <cellWatch r="C115"/>
    <cellWatch r="D115"/>
    <cellWatch r="E115"/>
    <cellWatch r="F115"/>
    <cellWatch r="G115"/>
    <cellWatch r="H115"/>
    <cellWatch r="I115"/>
    <cellWatch r="J115"/>
    <cellWatch r="K115"/>
    <cellWatch r="L115"/>
    <cellWatch r="M115"/>
    <cellWatch r="N115"/>
    <cellWatch r="A116"/>
    <cellWatch r="B116"/>
    <cellWatch r="C116"/>
    <cellWatch r="D116"/>
    <cellWatch r="E116"/>
    <cellWatch r="F116"/>
    <cellWatch r="G116"/>
    <cellWatch r="H116"/>
    <cellWatch r="I116"/>
    <cellWatch r="J116"/>
    <cellWatch r="K116"/>
    <cellWatch r="L116"/>
    <cellWatch r="M116"/>
    <cellWatch r="N116"/>
    <cellWatch r="A117"/>
    <cellWatch r="B117"/>
    <cellWatch r="C117"/>
    <cellWatch r="D117"/>
    <cellWatch r="E117"/>
    <cellWatch r="F117"/>
    <cellWatch r="G117"/>
    <cellWatch r="H117"/>
    <cellWatch r="I117"/>
    <cellWatch r="J117"/>
    <cellWatch r="K117"/>
    <cellWatch r="L117"/>
    <cellWatch r="M117"/>
    <cellWatch r="N117"/>
    <cellWatch r="A118"/>
    <cellWatch r="B118"/>
    <cellWatch r="C118"/>
    <cellWatch r="D118"/>
    <cellWatch r="E118"/>
    <cellWatch r="F118"/>
    <cellWatch r="G118"/>
    <cellWatch r="H118"/>
    <cellWatch r="I118"/>
    <cellWatch r="J118"/>
    <cellWatch r="K118"/>
    <cellWatch r="L118"/>
    <cellWatch r="M118"/>
    <cellWatch r="N118"/>
    <cellWatch r="A119"/>
    <cellWatch r="B119"/>
    <cellWatch r="C119"/>
    <cellWatch r="D119"/>
    <cellWatch r="E119"/>
    <cellWatch r="F119"/>
    <cellWatch r="G119"/>
    <cellWatch r="H119"/>
    <cellWatch r="I119"/>
    <cellWatch r="J119"/>
    <cellWatch r="K119"/>
    <cellWatch r="L119"/>
    <cellWatch r="M119"/>
    <cellWatch r="N119"/>
    <cellWatch r="A120"/>
    <cellWatch r="B120"/>
    <cellWatch r="C120"/>
    <cellWatch r="D120"/>
    <cellWatch r="E120"/>
    <cellWatch r="F120"/>
    <cellWatch r="G120"/>
    <cellWatch r="H120"/>
    <cellWatch r="I120"/>
    <cellWatch r="J120"/>
    <cellWatch r="K120"/>
    <cellWatch r="L120"/>
    <cellWatch r="M120"/>
    <cellWatch r="N120"/>
    <cellWatch r="A121"/>
    <cellWatch r="B121"/>
    <cellWatch r="C121"/>
    <cellWatch r="D121"/>
    <cellWatch r="E121"/>
    <cellWatch r="F121"/>
    <cellWatch r="G121"/>
    <cellWatch r="H121"/>
    <cellWatch r="I121"/>
    <cellWatch r="J121"/>
    <cellWatch r="K121"/>
    <cellWatch r="L121"/>
    <cellWatch r="M121"/>
    <cellWatch r="N121"/>
    <cellWatch r="A122"/>
    <cellWatch r="B122"/>
    <cellWatch r="C122"/>
    <cellWatch r="D122"/>
    <cellWatch r="E122"/>
    <cellWatch r="F122"/>
    <cellWatch r="G122"/>
    <cellWatch r="H122"/>
    <cellWatch r="I122"/>
    <cellWatch r="J122"/>
    <cellWatch r="K122"/>
    <cellWatch r="L122"/>
    <cellWatch r="M122"/>
    <cellWatch r="N122"/>
    <cellWatch r="A123"/>
    <cellWatch r="B123"/>
    <cellWatch r="C123"/>
    <cellWatch r="D123"/>
    <cellWatch r="E123"/>
    <cellWatch r="F123"/>
    <cellWatch r="G123"/>
    <cellWatch r="H123"/>
    <cellWatch r="I123"/>
    <cellWatch r="J123"/>
    <cellWatch r="K123"/>
    <cellWatch r="L123"/>
    <cellWatch r="M123"/>
    <cellWatch r="N123"/>
    <cellWatch r="A124"/>
    <cellWatch r="B124"/>
    <cellWatch r="C124"/>
    <cellWatch r="D124"/>
    <cellWatch r="E124"/>
    <cellWatch r="F124"/>
    <cellWatch r="G124"/>
    <cellWatch r="H124"/>
    <cellWatch r="I124"/>
    <cellWatch r="J124"/>
    <cellWatch r="K124"/>
    <cellWatch r="L124"/>
    <cellWatch r="M124"/>
    <cellWatch r="N124"/>
    <cellWatch r="A125"/>
    <cellWatch r="B125"/>
    <cellWatch r="C125"/>
    <cellWatch r="D125"/>
    <cellWatch r="E125"/>
    <cellWatch r="F125"/>
    <cellWatch r="G125"/>
    <cellWatch r="H125"/>
    <cellWatch r="I125"/>
    <cellWatch r="J125"/>
    <cellWatch r="K125"/>
    <cellWatch r="L125"/>
    <cellWatch r="M125"/>
    <cellWatch r="N125"/>
    <cellWatch r="A126"/>
    <cellWatch r="B126"/>
    <cellWatch r="C126"/>
    <cellWatch r="D126"/>
    <cellWatch r="E126"/>
    <cellWatch r="F126"/>
    <cellWatch r="G126"/>
    <cellWatch r="H126"/>
    <cellWatch r="I126"/>
    <cellWatch r="J126"/>
    <cellWatch r="K126"/>
    <cellWatch r="L126"/>
    <cellWatch r="M126"/>
    <cellWatch r="N126"/>
    <cellWatch r="A127"/>
    <cellWatch r="B127"/>
    <cellWatch r="C127"/>
    <cellWatch r="D127"/>
    <cellWatch r="E127"/>
    <cellWatch r="F127"/>
    <cellWatch r="G127"/>
    <cellWatch r="H127"/>
    <cellWatch r="I127"/>
    <cellWatch r="J127"/>
    <cellWatch r="K127"/>
    <cellWatch r="L127"/>
    <cellWatch r="M127"/>
    <cellWatch r="N127"/>
    <cellWatch r="A128"/>
    <cellWatch r="B128"/>
    <cellWatch r="C128"/>
    <cellWatch r="D128"/>
    <cellWatch r="E128"/>
    <cellWatch r="F128"/>
    <cellWatch r="G128"/>
    <cellWatch r="H128"/>
    <cellWatch r="I128"/>
    <cellWatch r="J128"/>
    <cellWatch r="K128"/>
    <cellWatch r="L128"/>
    <cellWatch r="M128"/>
    <cellWatch r="N128"/>
    <cellWatch r="A129"/>
    <cellWatch r="B129"/>
    <cellWatch r="C129"/>
    <cellWatch r="D129"/>
    <cellWatch r="E129"/>
    <cellWatch r="F129"/>
    <cellWatch r="G129"/>
    <cellWatch r="H129"/>
    <cellWatch r="I129"/>
    <cellWatch r="J129"/>
    <cellWatch r="K129"/>
    <cellWatch r="L129"/>
    <cellWatch r="M129"/>
    <cellWatch r="N129"/>
    <cellWatch r="A130"/>
    <cellWatch r="B130"/>
    <cellWatch r="C130"/>
    <cellWatch r="D130"/>
    <cellWatch r="E130"/>
    <cellWatch r="F130"/>
    <cellWatch r="G130"/>
    <cellWatch r="H130"/>
    <cellWatch r="I130"/>
    <cellWatch r="J130"/>
    <cellWatch r="K130"/>
    <cellWatch r="L130"/>
    <cellWatch r="M130"/>
    <cellWatch r="N130"/>
    <cellWatch r="A131"/>
    <cellWatch r="B131"/>
    <cellWatch r="C131"/>
    <cellWatch r="D131"/>
    <cellWatch r="E131"/>
    <cellWatch r="F131"/>
    <cellWatch r="G131"/>
    <cellWatch r="H131"/>
    <cellWatch r="I131"/>
    <cellWatch r="J131"/>
    <cellWatch r="K131"/>
    <cellWatch r="L131"/>
    <cellWatch r="M131"/>
    <cellWatch r="N131"/>
    <cellWatch r="A132"/>
    <cellWatch r="B132"/>
    <cellWatch r="C132"/>
    <cellWatch r="D132"/>
    <cellWatch r="E132"/>
    <cellWatch r="F132"/>
    <cellWatch r="G132"/>
    <cellWatch r="H132"/>
    <cellWatch r="I132"/>
    <cellWatch r="J132"/>
    <cellWatch r="K132"/>
    <cellWatch r="L132"/>
    <cellWatch r="M132"/>
    <cellWatch r="N132"/>
    <cellWatch r="A133"/>
    <cellWatch r="B133"/>
    <cellWatch r="C133"/>
    <cellWatch r="D133"/>
    <cellWatch r="E133"/>
    <cellWatch r="F133"/>
    <cellWatch r="G133"/>
    <cellWatch r="H133"/>
    <cellWatch r="I133"/>
    <cellWatch r="J133"/>
    <cellWatch r="K133"/>
    <cellWatch r="L133"/>
    <cellWatch r="M133"/>
    <cellWatch r="N133"/>
    <cellWatch r="A134"/>
    <cellWatch r="B134"/>
    <cellWatch r="C134"/>
    <cellWatch r="D134"/>
    <cellWatch r="E134"/>
    <cellWatch r="F134"/>
    <cellWatch r="G134"/>
    <cellWatch r="H134"/>
    <cellWatch r="I134"/>
    <cellWatch r="J134"/>
    <cellWatch r="K134"/>
    <cellWatch r="L134"/>
    <cellWatch r="M134"/>
    <cellWatch r="N134"/>
    <cellWatch r="A135"/>
    <cellWatch r="B135"/>
    <cellWatch r="C135"/>
    <cellWatch r="D135"/>
    <cellWatch r="E135"/>
    <cellWatch r="F135"/>
    <cellWatch r="G135"/>
    <cellWatch r="H135"/>
    <cellWatch r="I135"/>
    <cellWatch r="J135"/>
    <cellWatch r="K135"/>
    <cellWatch r="L135"/>
    <cellWatch r="M135"/>
    <cellWatch r="N135"/>
    <cellWatch r="A136"/>
    <cellWatch r="B136"/>
    <cellWatch r="C136"/>
    <cellWatch r="D136"/>
    <cellWatch r="E136"/>
    <cellWatch r="F136"/>
    <cellWatch r="G136"/>
    <cellWatch r="H136"/>
    <cellWatch r="I136"/>
    <cellWatch r="J136"/>
    <cellWatch r="K136"/>
    <cellWatch r="L136"/>
    <cellWatch r="M136"/>
    <cellWatch r="N136"/>
    <cellWatch r="A137"/>
    <cellWatch r="B137"/>
    <cellWatch r="C137"/>
    <cellWatch r="D137"/>
    <cellWatch r="E137"/>
    <cellWatch r="F137"/>
    <cellWatch r="G137"/>
    <cellWatch r="H137"/>
    <cellWatch r="I137"/>
    <cellWatch r="J137"/>
    <cellWatch r="K137"/>
    <cellWatch r="L137"/>
    <cellWatch r="M137"/>
    <cellWatch r="N137"/>
    <cellWatch r="A138"/>
    <cellWatch r="B138"/>
    <cellWatch r="C138"/>
    <cellWatch r="D138"/>
    <cellWatch r="E138"/>
    <cellWatch r="F138"/>
    <cellWatch r="G138"/>
    <cellWatch r="H138"/>
    <cellWatch r="I138"/>
    <cellWatch r="J138"/>
    <cellWatch r="K138"/>
    <cellWatch r="L138"/>
    <cellWatch r="M138"/>
    <cellWatch r="N138"/>
    <cellWatch r="A139"/>
    <cellWatch r="B139"/>
    <cellWatch r="C139"/>
    <cellWatch r="D139"/>
    <cellWatch r="E139"/>
    <cellWatch r="F139"/>
    <cellWatch r="G139"/>
    <cellWatch r="H139"/>
    <cellWatch r="I139"/>
    <cellWatch r="J139"/>
    <cellWatch r="K139"/>
    <cellWatch r="L139"/>
    <cellWatch r="M139"/>
    <cellWatch r="N139"/>
    <cellWatch r="A140"/>
    <cellWatch r="B140"/>
    <cellWatch r="C140"/>
    <cellWatch r="D140"/>
    <cellWatch r="E140"/>
    <cellWatch r="F140"/>
    <cellWatch r="G140"/>
    <cellWatch r="H140"/>
    <cellWatch r="I140"/>
    <cellWatch r="J140"/>
    <cellWatch r="K140"/>
    <cellWatch r="L140"/>
    <cellWatch r="M140"/>
    <cellWatch r="N140"/>
    <cellWatch r="A141"/>
    <cellWatch r="B141"/>
    <cellWatch r="C141"/>
    <cellWatch r="D141"/>
    <cellWatch r="E141"/>
    <cellWatch r="F141"/>
    <cellWatch r="G141"/>
    <cellWatch r="H141"/>
    <cellWatch r="I141"/>
    <cellWatch r="J141"/>
    <cellWatch r="K141"/>
    <cellWatch r="L141"/>
    <cellWatch r="M141"/>
    <cellWatch r="N141"/>
    <cellWatch r="A142"/>
    <cellWatch r="B142"/>
    <cellWatch r="C142"/>
    <cellWatch r="D142"/>
    <cellWatch r="E142"/>
    <cellWatch r="F142"/>
    <cellWatch r="G142"/>
    <cellWatch r="H142"/>
    <cellWatch r="I142"/>
    <cellWatch r="J142"/>
    <cellWatch r="K142"/>
    <cellWatch r="L142"/>
    <cellWatch r="M142"/>
    <cellWatch r="N142"/>
    <cellWatch r="A143"/>
    <cellWatch r="B143"/>
    <cellWatch r="C143"/>
    <cellWatch r="D143"/>
    <cellWatch r="E143"/>
    <cellWatch r="F143"/>
    <cellWatch r="G143"/>
    <cellWatch r="H143"/>
    <cellWatch r="I143"/>
    <cellWatch r="J143"/>
    <cellWatch r="K143"/>
    <cellWatch r="L143"/>
    <cellWatch r="M143"/>
    <cellWatch r="N143"/>
    <cellWatch r="A144"/>
    <cellWatch r="B144"/>
    <cellWatch r="C144"/>
    <cellWatch r="D144"/>
    <cellWatch r="E144"/>
    <cellWatch r="F144"/>
    <cellWatch r="G144"/>
    <cellWatch r="H144"/>
    <cellWatch r="I144"/>
    <cellWatch r="J144"/>
    <cellWatch r="K144"/>
    <cellWatch r="L144"/>
    <cellWatch r="M144"/>
    <cellWatch r="N144"/>
    <cellWatch r="A145"/>
    <cellWatch r="B145"/>
    <cellWatch r="C145"/>
    <cellWatch r="D145"/>
    <cellWatch r="E145"/>
    <cellWatch r="F145"/>
    <cellWatch r="G145"/>
    <cellWatch r="H145"/>
    <cellWatch r="I145"/>
    <cellWatch r="J145"/>
    <cellWatch r="K145"/>
    <cellWatch r="L145"/>
    <cellWatch r="M145"/>
    <cellWatch r="N145"/>
    <cellWatch r="A146"/>
    <cellWatch r="B146"/>
    <cellWatch r="C146"/>
    <cellWatch r="D146"/>
    <cellWatch r="E146"/>
    <cellWatch r="F146"/>
    <cellWatch r="G146"/>
    <cellWatch r="H146"/>
    <cellWatch r="I146"/>
    <cellWatch r="J146"/>
    <cellWatch r="K146"/>
    <cellWatch r="L146"/>
    <cellWatch r="M146"/>
    <cellWatch r="N146"/>
    <cellWatch r="A147"/>
    <cellWatch r="B147"/>
    <cellWatch r="C147"/>
    <cellWatch r="D147"/>
    <cellWatch r="E147"/>
    <cellWatch r="F147"/>
    <cellWatch r="G147"/>
    <cellWatch r="H147"/>
    <cellWatch r="I147"/>
    <cellWatch r="J147"/>
    <cellWatch r="K147"/>
    <cellWatch r="L147"/>
    <cellWatch r="M147"/>
    <cellWatch r="N147"/>
    <cellWatch r="A148"/>
    <cellWatch r="B148"/>
    <cellWatch r="C148"/>
    <cellWatch r="D148"/>
    <cellWatch r="E148"/>
    <cellWatch r="F148"/>
    <cellWatch r="G148"/>
    <cellWatch r="H148"/>
    <cellWatch r="I148"/>
    <cellWatch r="J148"/>
    <cellWatch r="K148"/>
    <cellWatch r="L148"/>
    <cellWatch r="M148"/>
    <cellWatch r="N148"/>
    <cellWatch r="A149"/>
    <cellWatch r="B149"/>
    <cellWatch r="C149"/>
    <cellWatch r="D149"/>
    <cellWatch r="E149"/>
    <cellWatch r="F149"/>
    <cellWatch r="G149"/>
    <cellWatch r="H149"/>
    <cellWatch r="I149"/>
    <cellWatch r="J149"/>
    <cellWatch r="K149"/>
    <cellWatch r="L149"/>
    <cellWatch r="M149"/>
    <cellWatch r="N149"/>
    <cellWatch r="A150"/>
    <cellWatch r="B150"/>
    <cellWatch r="C150"/>
    <cellWatch r="D150"/>
    <cellWatch r="E150"/>
    <cellWatch r="F150"/>
    <cellWatch r="G150"/>
    <cellWatch r="H150"/>
    <cellWatch r="I150"/>
    <cellWatch r="J150"/>
    <cellWatch r="K150"/>
    <cellWatch r="L150"/>
    <cellWatch r="M150"/>
    <cellWatch r="N150"/>
    <cellWatch r="A151"/>
    <cellWatch r="B151"/>
    <cellWatch r="C151"/>
    <cellWatch r="D151"/>
    <cellWatch r="E151"/>
    <cellWatch r="F151"/>
    <cellWatch r="G151"/>
    <cellWatch r="H151"/>
    <cellWatch r="I151"/>
    <cellWatch r="J151"/>
    <cellWatch r="K151"/>
    <cellWatch r="L151"/>
    <cellWatch r="M151"/>
    <cellWatch r="N151"/>
    <cellWatch r="A152"/>
    <cellWatch r="B152"/>
    <cellWatch r="C152"/>
    <cellWatch r="D152"/>
    <cellWatch r="E152"/>
    <cellWatch r="F152"/>
    <cellWatch r="G152"/>
    <cellWatch r="H152"/>
    <cellWatch r="I152"/>
    <cellWatch r="J152"/>
    <cellWatch r="K152"/>
    <cellWatch r="L152"/>
    <cellWatch r="M152"/>
    <cellWatch r="N152"/>
    <cellWatch r="A153"/>
    <cellWatch r="B153"/>
    <cellWatch r="C153"/>
    <cellWatch r="D153"/>
    <cellWatch r="E153"/>
    <cellWatch r="F153"/>
    <cellWatch r="G153"/>
    <cellWatch r="H153"/>
    <cellWatch r="I153"/>
    <cellWatch r="J153"/>
    <cellWatch r="K153"/>
    <cellWatch r="L153"/>
    <cellWatch r="M153"/>
    <cellWatch r="N153"/>
    <cellWatch r="A154"/>
    <cellWatch r="B154"/>
    <cellWatch r="C154"/>
    <cellWatch r="D154"/>
    <cellWatch r="E154"/>
    <cellWatch r="F154"/>
    <cellWatch r="G154"/>
    <cellWatch r="H154"/>
    <cellWatch r="I154"/>
    <cellWatch r="J154"/>
    <cellWatch r="K154"/>
    <cellWatch r="L154"/>
    <cellWatch r="M154"/>
    <cellWatch r="N154"/>
    <cellWatch r="A155"/>
    <cellWatch r="B155"/>
    <cellWatch r="C155"/>
    <cellWatch r="D155"/>
    <cellWatch r="E155"/>
    <cellWatch r="F155"/>
    <cellWatch r="G155"/>
    <cellWatch r="H155"/>
    <cellWatch r="I155"/>
    <cellWatch r="J155"/>
    <cellWatch r="K155"/>
    <cellWatch r="L155"/>
    <cellWatch r="M155"/>
    <cellWatch r="N155"/>
    <cellWatch r="A156"/>
    <cellWatch r="B156"/>
    <cellWatch r="C156"/>
    <cellWatch r="D156"/>
    <cellWatch r="E156"/>
    <cellWatch r="F156"/>
    <cellWatch r="G156"/>
    <cellWatch r="H156"/>
    <cellWatch r="I156"/>
    <cellWatch r="J156"/>
    <cellWatch r="K156"/>
    <cellWatch r="L156"/>
    <cellWatch r="M156"/>
    <cellWatch r="N156"/>
    <cellWatch r="A157"/>
    <cellWatch r="B157"/>
    <cellWatch r="C157"/>
    <cellWatch r="D157"/>
    <cellWatch r="E157"/>
    <cellWatch r="F157"/>
    <cellWatch r="G157"/>
    <cellWatch r="H157"/>
    <cellWatch r="I157"/>
    <cellWatch r="J157"/>
    <cellWatch r="K157"/>
    <cellWatch r="L157"/>
    <cellWatch r="M157"/>
    <cellWatch r="N157"/>
    <cellWatch r="A158"/>
    <cellWatch r="B158"/>
    <cellWatch r="C158"/>
    <cellWatch r="D158"/>
    <cellWatch r="E158"/>
    <cellWatch r="F158"/>
    <cellWatch r="G158"/>
    <cellWatch r="H158"/>
    <cellWatch r="I158"/>
    <cellWatch r="J158"/>
    <cellWatch r="K158"/>
    <cellWatch r="L158"/>
    <cellWatch r="M158"/>
    <cellWatch r="N158"/>
    <cellWatch r="A159"/>
    <cellWatch r="B159"/>
    <cellWatch r="C159"/>
    <cellWatch r="D159"/>
    <cellWatch r="E159"/>
    <cellWatch r="F159"/>
    <cellWatch r="G159"/>
    <cellWatch r="H159"/>
    <cellWatch r="I159"/>
    <cellWatch r="J159"/>
    <cellWatch r="K159"/>
    <cellWatch r="L159"/>
    <cellWatch r="M159"/>
    <cellWatch r="N159"/>
    <cellWatch r="A160"/>
    <cellWatch r="B160"/>
    <cellWatch r="C160"/>
    <cellWatch r="D160"/>
    <cellWatch r="E160"/>
    <cellWatch r="F160"/>
    <cellWatch r="G160"/>
    <cellWatch r="H160"/>
    <cellWatch r="I160"/>
    <cellWatch r="J160"/>
    <cellWatch r="K160"/>
    <cellWatch r="L160"/>
    <cellWatch r="M160"/>
    <cellWatch r="N160"/>
    <cellWatch r="A161"/>
    <cellWatch r="B161"/>
    <cellWatch r="C161"/>
    <cellWatch r="D161"/>
    <cellWatch r="E161"/>
    <cellWatch r="F161"/>
    <cellWatch r="G161"/>
    <cellWatch r="H161"/>
    <cellWatch r="I161"/>
    <cellWatch r="J161"/>
    <cellWatch r="K161"/>
    <cellWatch r="L161"/>
    <cellWatch r="M161"/>
    <cellWatch r="N161"/>
    <cellWatch r="A162"/>
    <cellWatch r="B162"/>
    <cellWatch r="C162"/>
    <cellWatch r="D162"/>
    <cellWatch r="E162"/>
    <cellWatch r="F162"/>
    <cellWatch r="G162"/>
    <cellWatch r="H162"/>
    <cellWatch r="I162"/>
    <cellWatch r="J162"/>
    <cellWatch r="K162"/>
    <cellWatch r="L162"/>
    <cellWatch r="M162"/>
    <cellWatch r="N162"/>
    <cellWatch r="A163"/>
    <cellWatch r="B163"/>
    <cellWatch r="C163"/>
    <cellWatch r="D163"/>
    <cellWatch r="E163"/>
    <cellWatch r="F163"/>
    <cellWatch r="G163"/>
    <cellWatch r="H163"/>
    <cellWatch r="I163"/>
    <cellWatch r="J163"/>
    <cellWatch r="K163"/>
    <cellWatch r="L163"/>
    <cellWatch r="M163"/>
    <cellWatch r="N163"/>
    <cellWatch r="A164"/>
    <cellWatch r="B164"/>
    <cellWatch r="C164"/>
    <cellWatch r="D164"/>
    <cellWatch r="E164"/>
    <cellWatch r="F164"/>
    <cellWatch r="G164"/>
    <cellWatch r="H164"/>
    <cellWatch r="I164"/>
    <cellWatch r="J164"/>
    <cellWatch r="K164"/>
    <cellWatch r="L164"/>
    <cellWatch r="M164"/>
    <cellWatch r="N164"/>
    <cellWatch r="A165"/>
    <cellWatch r="B165"/>
    <cellWatch r="C165"/>
    <cellWatch r="D165"/>
    <cellWatch r="E165"/>
    <cellWatch r="F165"/>
    <cellWatch r="G165"/>
    <cellWatch r="H165"/>
    <cellWatch r="I165"/>
    <cellWatch r="J165"/>
    <cellWatch r="K165"/>
    <cellWatch r="L165"/>
    <cellWatch r="M165"/>
    <cellWatch r="N165"/>
    <cellWatch r="A166"/>
    <cellWatch r="B166"/>
    <cellWatch r="C166"/>
    <cellWatch r="D166"/>
    <cellWatch r="E166"/>
    <cellWatch r="F166"/>
    <cellWatch r="G166"/>
    <cellWatch r="H166"/>
    <cellWatch r="I166"/>
    <cellWatch r="J166"/>
    <cellWatch r="K166"/>
    <cellWatch r="L166"/>
    <cellWatch r="M166"/>
    <cellWatch r="N166"/>
    <cellWatch r="A167"/>
    <cellWatch r="B167"/>
    <cellWatch r="C167"/>
    <cellWatch r="D167"/>
    <cellWatch r="E167"/>
    <cellWatch r="F167"/>
    <cellWatch r="G167"/>
    <cellWatch r="H167"/>
    <cellWatch r="I167"/>
    <cellWatch r="J167"/>
    <cellWatch r="K167"/>
    <cellWatch r="L167"/>
    <cellWatch r="M167"/>
    <cellWatch r="N167"/>
    <cellWatch r="A168"/>
    <cellWatch r="B168"/>
    <cellWatch r="C168"/>
    <cellWatch r="D168"/>
    <cellWatch r="E168"/>
    <cellWatch r="F168"/>
    <cellWatch r="G168"/>
    <cellWatch r="H168"/>
    <cellWatch r="I168"/>
    <cellWatch r="J168"/>
    <cellWatch r="K168"/>
    <cellWatch r="L168"/>
    <cellWatch r="M168"/>
    <cellWatch r="N168"/>
    <cellWatch r="A169"/>
    <cellWatch r="B169"/>
    <cellWatch r="C169"/>
    <cellWatch r="D169"/>
    <cellWatch r="E169"/>
    <cellWatch r="F169"/>
    <cellWatch r="G169"/>
    <cellWatch r="H169"/>
    <cellWatch r="I169"/>
    <cellWatch r="J169"/>
    <cellWatch r="K169"/>
    <cellWatch r="L169"/>
    <cellWatch r="M169"/>
    <cellWatch r="N169"/>
    <cellWatch r="A170"/>
    <cellWatch r="B170"/>
    <cellWatch r="C170"/>
    <cellWatch r="D170"/>
    <cellWatch r="E170"/>
    <cellWatch r="F170"/>
    <cellWatch r="G170"/>
    <cellWatch r="H170"/>
    <cellWatch r="I170"/>
    <cellWatch r="J170"/>
    <cellWatch r="K170"/>
    <cellWatch r="L170"/>
    <cellWatch r="M170"/>
    <cellWatch r="N170"/>
    <cellWatch r="A171"/>
    <cellWatch r="B171"/>
    <cellWatch r="C171"/>
    <cellWatch r="D171"/>
    <cellWatch r="E171"/>
    <cellWatch r="F171"/>
    <cellWatch r="G171"/>
    <cellWatch r="H171"/>
    <cellWatch r="I171"/>
    <cellWatch r="J171"/>
    <cellWatch r="K171"/>
    <cellWatch r="L171"/>
    <cellWatch r="M171"/>
    <cellWatch r="N171"/>
    <cellWatch r="A172"/>
    <cellWatch r="B172"/>
    <cellWatch r="C172"/>
    <cellWatch r="D172"/>
    <cellWatch r="E172"/>
    <cellWatch r="F172"/>
    <cellWatch r="G172"/>
    <cellWatch r="H172"/>
    <cellWatch r="I172"/>
    <cellWatch r="J172"/>
    <cellWatch r="K172"/>
    <cellWatch r="L172"/>
    <cellWatch r="M172"/>
    <cellWatch r="N172"/>
    <cellWatch r="A173"/>
    <cellWatch r="B173"/>
    <cellWatch r="C173"/>
    <cellWatch r="D173"/>
    <cellWatch r="E173"/>
    <cellWatch r="F173"/>
    <cellWatch r="G173"/>
    <cellWatch r="H173"/>
    <cellWatch r="I173"/>
    <cellWatch r="J173"/>
    <cellWatch r="K173"/>
    <cellWatch r="L173"/>
    <cellWatch r="M173"/>
    <cellWatch r="N173"/>
    <cellWatch r="A174"/>
    <cellWatch r="B174"/>
    <cellWatch r="C174"/>
    <cellWatch r="D174"/>
    <cellWatch r="E174"/>
    <cellWatch r="F174"/>
    <cellWatch r="G174"/>
    <cellWatch r="H174"/>
    <cellWatch r="I174"/>
    <cellWatch r="J174"/>
    <cellWatch r="K174"/>
    <cellWatch r="L174"/>
    <cellWatch r="M174"/>
    <cellWatch r="N174"/>
    <cellWatch r="A175"/>
    <cellWatch r="B175"/>
    <cellWatch r="C175"/>
    <cellWatch r="D175"/>
    <cellWatch r="E175"/>
    <cellWatch r="F175"/>
    <cellWatch r="G175"/>
    <cellWatch r="H175"/>
    <cellWatch r="I175"/>
    <cellWatch r="J175"/>
    <cellWatch r="K175"/>
    <cellWatch r="L175"/>
    <cellWatch r="M175"/>
    <cellWatch r="N175"/>
    <cellWatch r="A176"/>
    <cellWatch r="B176"/>
    <cellWatch r="C176"/>
    <cellWatch r="D176"/>
    <cellWatch r="E176"/>
    <cellWatch r="F176"/>
    <cellWatch r="G176"/>
    <cellWatch r="H176"/>
    <cellWatch r="I176"/>
    <cellWatch r="J176"/>
    <cellWatch r="K176"/>
    <cellWatch r="L176"/>
    <cellWatch r="M176"/>
    <cellWatch r="N176"/>
    <cellWatch r="A177"/>
    <cellWatch r="B177"/>
    <cellWatch r="C177"/>
    <cellWatch r="D177"/>
    <cellWatch r="E177"/>
    <cellWatch r="F177"/>
    <cellWatch r="G177"/>
    <cellWatch r="H177"/>
    <cellWatch r="I177"/>
    <cellWatch r="J177"/>
    <cellWatch r="K177"/>
    <cellWatch r="L177"/>
    <cellWatch r="M177"/>
    <cellWatch r="N177"/>
    <cellWatch r="A178"/>
    <cellWatch r="B178"/>
    <cellWatch r="C178"/>
    <cellWatch r="D178"/>
    <cellWatch r="E178"/>
    <cellWatch r="F178"/>
    <cellWatch r="G178"/>
    <cellWatch r="H178"/>
    <cellWatch r="I178"/>
    <cellWatch r="J178"/>
    <cellWatch r="K178"/>
    <cellWatch r="L178"/>
    <cellWatch r="M178"/>
    <cellWatch r="N178"/>
    <cellWatch r="A179"/>
    <cellWatch r="B179"/>
    <cellWatch r="C179"/>
    <cellWatch r="D179"/>
    <cellWatch r="E179"/>
    <cellWatch r="F179"/>
    <cellWatch r="G179"/>
    <cellWatch r="H179"/>
    <cellWatch r="I179"/>
    <cellWatch r="J179"/>
    <cellWatch r="K179"/>
    <cellWatch r="L179"/>
    <cellWatch r="M179"/>
    <cellWatch r="N179"/>
    <cellWatch r="A180"/>
    <cellWatch r="B180"/>
    <cellWatch r="C180"/>
    <cellWatch r="D180"/>
    <cellWatch r="E180"/>
    <cellWatch r="F180"/>
    <cellWatch r="G180"/>
    <cellWatch r="H180"/>
    <cellWatch r="I180"/>
    <cellWatch r="J180"/>
    <cellWatch r="K180"/>
    <cellWatch r="L180"/>
    <cellWatch r="M180"/>
    <cellWatch r="N180"/>
    <cellWatch r="A181"/>
    <cellWatch r="B181"/>
    <cellWatch r="C181"/>
    <cellWatch r="D181"/>
    <cellWatch r="E181"/>
    <cellWatch r="F181"/>
    <cellWatch r="G181"/>
    <cellWatch r="H181"/>
    <cellWatch r="I181"/>
    <cellWatch r="J181"/>
    <cellWatch r="K181"/>
    <cellWatch r="L181"/>
    <cellWatch r="M181"/>
    <cellWatch r="N181"/>
    <cellWatch r="A182"/>
    <cellWatch r="B182"/>
    <cellWatch r="C182"/>
    <cellWatch r="D182"/>
    <cellWatch r="E182"/>
    <cellWatch r="F182"/>
    <cellWatch r="G182"/>
    <cellWatch r="H182"/>
    <cellWatch r="I182"/>
    <cellWatch r="J182"/>
    <cellWatch r="K182"/>
    <cellWatch r="L182"/>
    <cellWatch r="M182"/>
    <cellWatch r="N182"/>
    <cellWatch r="A183"/>
    <cellWatch r="B183"/>
    <cellWatch r="C183"/>
    <cellWatch r="D183"/>
    <cellWatch r="E183"/>
    <cellWatch r="F183"/>
    <cellWatch r="G183"/>
    <cellWatch r="H183"/>
    <cellWatch r="I183"/>
    <cellWatch r="J183"/>
    <cellWatch r="K183"/>
    <cellWatch r="L183"/>
    <cellWatch r="M183"/>
    <cellWatch r="N183"/>
    <cellWatch r="A184"/>
    <cellWatch r="B184"/>
    <cellWatch r="C184"/>
    <cellWatch r="D184"/>
    <cellWatch r="E184"/>
    <cellWatch r="F184"/>
    <cellWatch r="G184"/>
    <cellWatch r="H184"/>
    <cellWatch r="I184"/>
    <cellWatch r="J184"/>
    <cellWatch r="K184"/>
    <cellWatch r="L184"/>
    <cellWatch r="M184"/>
    <cellWatch r="N184"/>
    <cellWatch r="A185"/>
    <cellWatch r="B185"/>
    <cellWatch r="C185"/>
    <cellWatch r="D185"/>
    <cellWatch r="E185"/>
    <cellWatch r="F185"/>
    <cellWatch r="G185"/>
    <cellWatch r="H185"/>
    <cellWatch r="I185"/>
    <cellWatch r="J185"/>
    <cellWatch r="K185"/>
    <cellWatch r="L185"/>
    <cellWatch r="M185"/>
    <cellWatch r="N185"/>
    <cellWatch r="A186"/>
    <cellWatch r="B186"/>
    <cellWatch r="C186"/>
    <cellWatch r="D186"/>
    <cellWatch r="E186"/>
    <cellWatch r="F186"/>
    <cellWatch r="G186"/>
    <cellWatch r="H186"/>
    <cellWatch r="I186"/>
    <cellWatch r="J186"/>
    <cellWatch r="K186"/>
    <cellWatch r="L186"/>
    <cellWatch r="M186"/>
    <cellWatch r="N186"/>
    <cellWatch r="A187"/>
    <cellWatch r="B187"/>
    <cellWatch r="C187"/>
    <cellWatch r="D187"/>
    <cellWatch r="E187"/>
    <cellWatch r="F187"/>
    <cellWatch r="G187"/>
    <cellWatch r="H187"/>
    <cellWatch r="I187"/>
    <cellWatch r="J187"/>
    <cellWatch r="K187"/>
    <cellWatch r="L187"/>
    <cellWatch r="M187"/>
    <cellWatch r="N187"/>
    <cellWatch r="A188"/>
    <cellWatch r="B188"/>
    <cellWatch r="C188"/>
    <cellWatch r="D188"/>
    <cellWatch r="E188"/>
    <cellWatch r="F188"/>
    <cellWatch r="G188"/>
    <cellWatch r="H188"/>
    <cellWatch r="I188"/>
    <cellWatch r="J188"/>
    <cellWatch r="K188"/>
    <cellWatch r="L188"/>
    <cellWatch r="M188"/>
    <cellWatch r="N188"/>
    <cellWatch r="A189"/>
    <cellWatch r="B189"/>
    <cellWatch r="C189"/>
    <cellWatch r="D189"/>
    <cellWatch r="E189"/>
    <cellWatch r="F189"/>
    <cellWatch r="G189"/>
    <cellWatch r="H189"/>
    <cellWatch r="I189"/>
    <cellWatch r="J189"/>
    <cellWatch r="K189"/>
    <cellWatch r="L189"/>
    <cellWatch r="M189"/>
    <cellWatch r="N189"/>
    <cellWatch r="A190"/>
    <cellWatch r="B190"/>
    <cellWatch r="C190"/>
    <cellWatch r="D190"/>
    <cellWatch r="E190"/>
    <cellWatch r="F190"/>
    <cellWatch r="G190"/>
    <cellWatch r="H190"/>
    <cellWatch r="I190"/>
    <cellWatch r="J190"/>
    <cellWatch r="K190"/>
    <cellWatch r="L190"/>
    <cellWatch r="M190"/>
    <cellWatch r="N190"/>
    <cellWatch r="A191"/>
    <cellWatch r="B191"/>
    <cellWatch r="C191"/>
    <cellWatch r="D191"/>
    <cellWatch r="E191"/>
    <cellWatch r="F191"/>
    <cellWatch r="G191"/>
    <cellWatch r="H191"/>
    <cellWatch r="I191"/>
    <cellWatch r="J191"/>
    <cellWatch r="K191"/>
    <cellWatch r="L191"/>
    <cellWatch r="M191"/>
    <cellWatch r="N191"/>
    <cellWatch r="A192"/>
    <cellWatch r="B192"/>
    <cellWatch r="C192"/>
    <cellWatch r="D192"/>
    <cellWatch r="E192"/>
    <cellWatch r="F192"/>
    <cellWatch r="G192"/>
    <cellWatch r="H192"/>
    <cellWatch r="I192"/>
    <cellWatch r="J192"/>
    <cellWatch r="K192"/>
    <cellWatch r="L192"/>
    <cellWatch r="M192"/>
    <cellWatch r="N192"/>
    <cellWatch r="A193"/>
    <cellWatch r="B193"/>
    <cellWatch r="C193"/>
    <cellWatch r="D193"/>
    <cellWatch r="E193"/>
    <cellWatch r="F193"/>
    <cellWatch r="G193"/>
    <cellWatch r="H193"/>
    <cellWatch r="I193"/>
    <cellWatch r="J193"/>
    <cellWatch r="K193"/>
    <cellWatch r="L193"/>
    <cellWatch r="M193"/>
    <cellWatch r="N193"/>
    <cellWatch r="A194"/>
    <cellWatch r="B194"/>
    <cellWatch r="C194"/>
    <cellWatch r="D194"/>
    <cellWatch r="E194"/>
    <cellWatch r="F194"/>
    <cellWatch r="G194"/>
    <cellWatch r="H194"/>
    <cellWatch r="I194"/>
    <cellWatch r="J194"/>
    <cellWatch r="K194"/>
    <cellWatch r="L194"/>
    <cellWatch r="M194"/>
    <cellWatch r="N194"/>
    <cellWatch r="A195"/>
    <cellWatch r="B195"/>
    <cellWatch r="C195"/>
    <cellWatch r="D195"/>
    <cellWatch r="E195"/>
    <cellWatch r="F195"/>
    <cellWatch r="G195"/>
    <cellWatch r="H195"/>
    <cellWatch r="I195"/>
    <cellWatch r="J195"/>
    <cellWatch r="K195"/>
    <cellWatch r="L195"/>
    <cellWatch r="M195"/>
    <cellWatch r="N195"/>
    <cellWatch r="A196"/>
    <cellWatch r="B196"/>
    <cellWatch r="C196"/>
    <cellWatch r="D196"/>
    <cellWatch r="E196"/>
    <cellWatch r="F196"/>
    <cellWatch r="G196"/>
    <cellWatch r="H196"/>
    <cellWatch r="I196"/>
    <cellWatch r="J196"/>
    <cellWatch r="K196"/>
    <cellWatch r="L196"/>
    <cellWatch r="M196"/>
    <cellWatch r="N196"/>
    <cellWatch r="A197"/>
    <cellWatch r="B197"/>
    <cellWatch r="C197"/>
    <cellWatch r="D197"/>
    <cellWatch r="E197"/>
    <cellWatch r="F197"/>
    <cellWatch r="G197"/>
    <cellWatch r="H197"/>
    <cellWatch r="I197"/>
    <cellWatch r="J197"/>
    <cellWatch r="K197"/>
    <cellWatch r="L197"/>
    <cellWatch r="M197"/>
    <cellWatch r="N197"/>
    <cellWatch r="A198"/>
    <cellWatch r="B198"/>
    <cellWatch r="C198"/>
    <cellWatch r="D198"/>
    <cellWatch r="E198"/>
    <cellWatch r="F198"/>
    <cellWatch r="G198"/>
    <cellWatch r="H198"/>
    <cellWatch r="I198"/>
    <cellWatch r="J198"/>
    <cellWatch r="K198"/>
    <cellWatch r="L198"/>
    <cellWatch r="M198"/>
    <cellWatch r="N198"/>
    <cellWatch r="A199"/>
    <cellWatch r="B199"/>
    <cellWatch r="C199"/>
    <cellWatch r="D199"/>
    <cellWatch r="E199"/>
    <cellWatch r="F199"/>
    <cellWatch r="G199"/>
    <cellWatch r="H199"/>
    <cellWatch r="I199"/>
    <cellWatch r="J199"/>
    <cellWatch r="K199"/>
    <cellWatch r="L199"/>
    <cellWatch r="M199"/>
    <cellWatch r="N199"/>
    <cellWatch r="A200"/>
    <cellWatch r="B200"/>
    <cellWatch r="C200"/>
    <cellWatch r="D200"/>
    <cellWatch r="E200"/>
    <cellWatch r="F200"/>
    <cellWatch r="G200"/>
    <cellWatch r="H200"/>
    <cellWatch r="I200"/>
    <cellWatch r="J200"/>
    <cellWatch r="K200"/>
    <cellWatch r="L200"/>
    <cellWatch r="M200"/>
    <cellWatch r="N200"/>
    <cellWatch r="A201"/>
    <cellWatch r="B201"/>
    <cellWatch r="C201"/>
    <cellWatch r="D201"/>
    <cellWatch r="E201"/>
    <cellWatch r="F201"/>
    <cellWatch r="G201"/>
    <cellWatch r="H201"/>
    <cellWatch r="I201"/>
    <cellWatch r="J201"/>
    <cellWatch r="K201"/>
    <cellWatch r="L201"/>
    <cellWatch r="M201"/>
    <cellWatch r="N201"/>
    <cellWatch r="A202"/>
    <cellWatch r="B202"/>
    <cellWatch r="C202"/>
    <cellWatch r="D202"/>
    <cellWatch r="E202"/>
    <cellWatch r="F202"/>
    <cellWatch r="G202"/>
    <cellWatch r="H202"/>
    <cellWatch r="I202"/>
    <cellWatch r="J202"/>
    <cellWatch r="K202"/>
    <cellWatch r="L202"/>
    <cellWatch r="M202"/>
    <cellWatch r="N202"/>
    <cellWatch r="A203"/>
    <cellWatch r="B203"/>
    <cellWatch r="C203"/>
    <cellWatch r="D203"/>
    <cellWatch r="E203"/>
    <cellWatch r="F203"/>
    <cellWatch r="G203"/>
    <cellWatch r="H203"/>
    <cellWatch r="I203"/>
    <cellWatch r="J203"/>
    <cellWatch r="K203"/>
    <cellWatch r="L203"/>
    <cellWatch r="M203"/>
    <cellWatch r="N203"/>
    <cellWatch r="A204"/>
    <cellWatch r="B204"/>
    <cellWatch r="C204"/>
    <cellWatch r="D204"/>
    <cellWatch r="E204"/>
    <cellWatch r="F204"/>
    <cellWatch r="G204"/>
    <cellWatch r="H204"/>
    <cellWatch r="I204"/>
    <cellWatch r="J204"/>
    <cellWatch r="K204"/>
    <cellWatch r="L204"/>
    <cellWatch r="M204"/>
    <cellWatch r="N204"/>
    <cellWatch r="A205"/>
    <cellWatch r="B205"/>
    <cellWatch r="C205"/>
    <cellWatch r="D205"/>
    <cellWatch r="E205"/>
    <cellWatch r="F205"/>
    <cellWatch r="G205"/>
    <cellWatch r="H205"/>
    <cellWatch r="I205"/>
    <cellWatch r="J205"/>
    <cellWatch r="K205"/>
    <cellWatch r="L205"/>
    <cellWatch r="M205"/>
    <cellWatch r="N205"/>
    <cellWatch r="A206"/>
    <cellWatch r="B206"/>
    <cellWatch r="C206"/>
    <cellWatch r="D206"/>
    <cellWatch r="E206"/>
    <cellWatch r="F206"/>
    <cellWatch r="G206"/>
    <cellWatch r="H206"/>
    <cellWatch r="I206"/>
    <cellWatch r="J206"/>
    <cellWatch r="K206"/>
    <cellWatch r="L206"/>
    <cellWatch r="M206"/>
    <cellWatch r="N206"/>
    <cellWatch r="A207"/>
    <cellWatch r="B207"/>
    <cellWatch r="C207"/>
    <cellWatch r="D207"/>
    <cellWatch r="E207"/>
    <cellWatch r="F207"/>
    <cellWatch r="G207"/>
    <cellWatch r="H207"/>
    <cellWatch r="I207"/>
    <cellWatch r="J207"/>
    <cellWatch r="K207"/>
    <cellWatch r="L207"/>
    <cellWatch r="M207"/>
    <cellWatch r="N207"/>
    <cellWatch r="A208"/>
    <cellWatch r="B208"/>
    <cellWatch r="C208"/>
    <cellWatch r="D208"/>
    <cellWatch r="E208"/>
    <cellWatch r="F208"/>
    <cellWatch r="G208"/>
    <cellWatch r="H208"/>
    <cellWatch r="I208"/>
    <cellWatch r="J208"/>
    <cellWatch r="K208"/>
    <cellWatch r="L208"/>
    <cellWatch r="M208"/>
    <cellWatch r="N208"/>
    <cellWatch r="A209"/>
    <cellWatch r="B209"/>
    <cellWatch r="C209"/>
    <cellWatch r="D209"/>
    <cellWatch r="E209"/>
    <cellWatch r="F209"/>
    <cellWatch r="G209"/>
    <cellWatch r="H209"/>
    <cellWatch r="I209"/>
    <cellWatch r="J209"/>
    <cellWatch r="K209"/>
    <cellWatch r="L209"/>
    <cellWatch r="M209"/>
    <cellWatch r="N209"/>
    <cellWatch r="A210"/>
    <cellWatch r="B210"/>
    <cellWatch r="C210"/>
    <cellWatch r="D210"/>
    <cellWatch r="E210"/>
    <cellWatch r="F210"/>
    <cellWatch r="G210"/>
    <cellWatch r="H210"/>
    <cellWatch r="I210"/>
    <cellWatch r="J210"/>
    <cellWatch r="K210"/>
    <cellWatch r="L210"/>
    <cellWatch r="M210"/>
    <cellWatch r="N210"/>
    <cellWatch r="A211"/>
    <cellWatch r="B211"/>
    <cellWatch r="C211"/>
    <cellWatch r="D211"/>
    <cellWatch r="E211"/>
    <cellWatch r="F211"/>
    <cellWatch r="G211"/>
    <cellWatch r="H211"/>
    <cellWatch r="I211"/>
    <cellWatch r="J211"/>
    <cellWatch r="K211"/>
    <cellWatch r="L211"/>
    <cellWatch r="M211"/>
    <cellWatch r="N211"/>
    <cellWatch r="A212"/>
    <cellWatch r="B212"/>
    <cellWatch r="C212"/>
    <cellWatch r="D212"/>
    <cellWatch r="E212"/>
    <cellWatch r="F212"/>
    <cellWatch r="G212"/>
    <cellWatch r="H212"/>
    <cellWatch r="I212"/>
    <cellWatch r="J212"/>
    <cellWatch r="K212"/>
    <cellWatch r="L212"/>
    <cellWatch r="M212"/>
    <cellWatch r="N212"/>
    <cellWatch r="A213"/>
    <cellWatch r="B213"/>
    <cellWatch r="C213"/>
    <cellWatch r="D213"/>
    <cellWatch r="E213"/>
    <cellWatch r="F213"/>
    <cellWatch r="G213"/>
    <cellWatch r="H213"/>
    <cellWatch r="I213"/>
    <cellWatch r="J213"/>
    <cellWatch r="K213"/>
    <cellWatch r="L213"/>
    <cellWatch r="M213"/>
    <cellWatch r="N213"/>
    <cellWatch r="A214"/>
    <cellWatch r="B214"/>
    <cellWatch r="C214"/>
    <cellWatch r="D214"/>
    <cellWatch r="E214"/>
    <cellWatch r="F214"/>
    <cellWatch r="G214"/>
    <cellWatch r="H214"/>
    <cellWatch r="I214"/>
    <cellWatch r="J214"/>
    <cellWatch r="K214"/>
    <cellWatch r="L214"/>
    <cellWatch r="M214"/>
    <cellWatch r="N214"/>
    <cellWatch r="A215"/>
    <cellWatch r="B215"/>
    <cellWatch r="C215"/>
    <cellWatch r="D215"/>
    <cellWatch r="E215"/>
    <cellWatch r="F215"/>
    <cellWatch r="G215"/>
    <cellWatch r="H215"/>
    <cellWatch r="I215"/>
    <cellWatch r="J215"/>
    <cellWatch r="K215"/>
    <cellWatch r="L215"/>
    <cellWatch r="M215"/>
    <cellWatch r="N215"/>
    <cellWatch r="A216"/>
    <cellWatch r="B216"/>
    <cellWatch r="C216"/>
    <cellWatch r="D216"/>
    <cellWatch r="E216"/>
    <cellWatch r="F216"/>
    <cellWatch r="G216"/>
    <cellWatch r="H216"/>
    <cellWatch r="I216"/>
    <cellWatch r="J216"/>
    <cellWatch r="K216"/>
    <cellWatch r="L216"/>
    <cellWatch r="M216"/>
    <cellWatch r="N216"/>
    <cellWatch r="A217"/>
    <cellWatch r="B217"/>
    <cellWatch r="C217"/>
    <cellWatch r="D217"/>
    <cellWatch r="E217"/>
    <cellWatch r="F217"/>
    <cellWatch r="G217"/>
    <cellWatch r="H217"/>
    <cellWatch r="I217"/>
    <cellWatch r="J217"/>
    <cellWatch r="K217"/>
    <cellWatch r="L217"/>
    <cellWatch r="M217"/>
    <cellWatch r="N217"/>
    <cellWatch r="A218"/>
    <cellWatch r="B218"/>
    <cellWatch r="C218"/>
    <cellWatch r="D218"/>
    <cellWatch r="E218"/>
    <cellWatch r="F218"/>
    <cellWatch r="G218"/>
    <cellWatch r="H218"/>
    <cellWatch r="I218"/>
    <cellWatch r="J218"/>
    <cellWatch r="K218"/>
    <cellWatch r="L218"/>
    <cellWatch r="M218"/>
    <cellWatch r="N218"/>
    <cellWatch r="A219"/>
    <cellWatch r="B219"/>
    <cellWatch r="C219"/>
    <cellWatch r="D219"/>
    <cellWatch r="E219"/>
    <cellWatch r="F219"/>
    <cellWatch r="G219"/>
    <cellWatch r="H219"/>
    <cellWatch r="I219"/>
    <cellWatch r="J219"/>
    <cellWatch r="K219"/>
    <cellWatch r="L219"/>
    <cellWatch r="M219"/>
    <cellWatch r="N219"/>
    <cellWatch r="A220"/>
    <cellWatch r="B220"/>
    <cellWatch r="C220"/>
    <cellWatch r="D220"/>
    <cellWatch r="E220"/>
    <cellWatch r="F220"/>
    <cellWatch r="G220"/>
    <cellWatch r="H220"/>
    <cellWatch r="I220"/>
    <cellWatch r="J220"/>
    <cellWatch r="K220"/>
    <cellWatch r="L220"/>
    <cellWatch r="M220"/>
    <cellWatch r="N220"/>
    <cellWatch r="A221"/>
    <cellWatch r="B221"/>
    <cellWatch r="C221"/>
    <cellWatch r="D221"/>
    <cellWatch r="E221"/>
    <cellWatch r="F221"/>
    <cellWatch r="G221"/>
    <cellWatch r="H221"/>
    <cellWatch r="I221"/>
    <cellWatch r="J221"/>
    <cellWatch r="K221"/>
    <cellWatch r="L221"/>
    <cellWatch r="M221"/>
    <cellWatch r="N221"/>
    <cellWatch r="A222"/>
    <cellWatch r="B222"/>
    <cellWatch r="C222"/>
    <cellWatch r="D222"/>
    <cellWatch r="E222"/>
    <cellWatch r="F222"/>
    <cellWatch r="G222"/>
    <cellWatch r="H222"/>
    <cellWatch r="I222"/>
    <cellWatch r="J222"/>
    <cellWatch r="K222"/>
    <cellWatch r="L222"/>
    <cellWatch r="M222"/>
    <cellWatch r="N222"/>
    <cellWatch r="A223"/>
    <cellWatch r="B223"/>
    <cellWatch r="C223"/>
    <cellWatch r="D223"/>
    <cellWatch r="E223"/>
    <cellWatch r="F223"/>
    <cellWatch r="G223"/>
    <cellWatch r="H223"/>
    <cellWatch r="I223"/>
    <cellWatch r="J223"/>
    <cellWatch r="K223"/>
    <cellWatch r="L223"/>
    <cellWatch r="M223"/>
    <cellWatch r="N223"/>
    <cellWatch r="A224"/>
    <cellWatch r="B224"/>
    <cellWatch r="C224"/>
    <cellWatch r="D224"/>
    <cellWatch r="E224"/>
    <cellWatch r="F224"/>
    <cellWatch r="G224"/>
    <cellWatch r="H224"/>
    <cellWatch r="I224"/>
    <cellWatch r="J224"/>
    <cellWatch r="K224"/>
    <cellWatch r="L224"/>
    <cellWatch r="M224"/>
    <cellWatch r="N224"/>
    <cellWatch r="A225"/>
    <cellWatch r="B225"/>
    <cellWatch r="C225"/>
    <cellWatch r="D225"/>
    <cellWatch r="E225"/>
    <cellWatch r="F225"/>
    <cellWatch r="G225"/>
    <cellWatch r="H225"/>
    <cellWatch r="I225"/>
    <cellWatch r="J225"/>
    <cellWatch r="K225"/>
    <cellWatch r="L225"/>
    <cellWatch r="M225"/>
    <cellWatch r="N225"/>
    <cellWatch r="A226"/>
    <cellWatch r="B226"/>
    <cellWatch r="C226"/>
    <cellWatch r="D226"/>
    <cellWatch r="E226"/>
    <cellWatch r="F226"/>
    <cellWatch r="G226"/>
    <cellWatch r="H226"/>
    <cellWatch r="I226"/>
    <cellWatch r="J226"/>
    <cellWatch r="K226"/>
    <cellWatch r="L226"/>
    <cellWatch r="M226"/>
    <cellWatch r="N226"/>
    <cellWatch r="A227"/>
    <cellWatch r="B227"/>
    <cellWatch r="C227"/>
    <cellWatch r="D227"/>
    <cellWatch r="E227"/>
    <cellWatch r="F227"/>
    <cellWatch r="G227"/>
    <cellWatch r="H227"/>
    <cellWatch r="I227"/>
    <cellWatch r="J227"/>
    <cellWatch r="K227"/>
    <cellWatch r="L227"/>
    <cellWatch r="M227"/>
    <cellWatch r="N227"/>
    <cellWatch r="A228"/>
    <cellWatch r="B228"/>
    <cellWatch r="C228"/>
    <cellWatch r="D228"/>
    <cellWatch r="E228"/>
    <cellWatch r="F228"/>
    <cellWatch r="G228"/>
    <cellWatch r="H228"/>
    <cellWatch r="I228"/>
    <cellWatch r="J228"/>
    <cellWatch r="K228"/>
    <cellWatch r="L228"/>
    <cellWatch r="M228"/>
    <cellWatch r="N228"/>
    <cellWatch r="A229"/>
    <cellWatch r="B229"/>
    <cellWatch r="C229"/>
    <cellWatch r="D229"/>
    <cellWatch r="E229"/>
    <cellWatch r="F229"/>
    <cellWatch r="G229"/>
    <cellWatch r="H229"/>
    <cellWatch r="I229"/>
    <cellWatch r="J229"/>
    <cellWatch r="K229"/>
    <cellWatch r="L229"/>
    <cellWatch r="M229"/>
    <cellWatch r="N229"/>
    <cellWatch r="A230"/>
    <cellWatch r="B230"/>
    <cellWatch r="C230"/>
    <cellWatch r="D230"/>
    <cellWatch r="E230"/>
    <cellWatch r="F230"/>
    <cellWatch r="G230"/>
    <cellWatch r="H230"/>
    <cellWatch r="I230"/>
    <cellWatch r="J230"/>
    <cellWatch r="K230"/>
    <cellWatch r="L230"/>
    <cellWatch r="M230"/>
    <cellWatch r="N230"/>
    <cellWatch r="A231"/>
    <cellWatch r="B231"/>
    <cellWatch r="C231"/>
    <cellWatch r="D231"/>
    <cellWatch r="E231"/>
    <cellWatch r="F231"/>
    <cellWatch r="G231"/>
    <cellWatch r="H231"/>
    <cellWatch r="I231"/>
    <cellWatch r="J231"/>
    <cellWatch r="K231"/>
    <cellWatch r="L231"/>
    <cellWatch r="M231"/>
    <cellWatch r="N231"/>
    <cellWatch r="A232"/>
    <cellWatch r="B232"/>
    <cellWatch r="C232"/>
    <cellWatch r="D232"/>
    <cellWatch r="E232"/>
    <cellWatch r="F232"/>
    <cellWatch r="G232"/>
    <cellWatch r="H232"/>
    <cellWatch r="I232"/>
    <cellWatch r="J232"/>
    <cellWatch r="K232"/>
    <cellWatch r="L232"/>
    <cellWatch r="M232"/>
    <cellWatch r="N232"/>
    <cellWatch r="A233"/>
    <cellWatch r="B233"/>
    <cellWatch r="C233"/>
    <cellWatch r="D233"/>
    <cellWatch r="E233"/>
    <cellWatch r="F233"/>
    <cellWatch r="G233"/>
    <cellWatch r="H233"/>
    <cellWatch r="I233"/>
    <cellWatch r="J233"/>
    <cellWatch r="K233"/>
    <cellWatch r="L233"/>
    <cellWatch r="M233"/>
    <cellWatch r="N233"/>
    <cellWatch r="A234"/>
    <cellWatch r="B234"/>
    <cellWatch r="C234"/>
    <cellWatch r="D234"/>
    <cellWatch r="E234"/>
    <cellWatch r="F234"/>
    <cellWatch r="G234"/>
    <cellWatch r="H234"/>
    <cellWatch r="I234"/>
    <cellWatch r="J234"/>
    <cellWatch r="K234"/>
    <cellWatch r="L234"/>
    <cellWatch r="M234"/>
    <cellWatch r="N234"/>
    <cellWatch r="A235"/>
    <cellWatch r="B235"/>
    <cellWatch r="C235"/>
    <cellWatch r="D235"/>
    <cellWatch r="E235"/>
    <cellWatch r="F235"/>
    <cellWatch r="G235"/>
    <cellWatch r="H235"/>
    <cellWatch r="I235"/>
    <cellWatch r="J235"/>
    <cellWatch r="K235"/>
    <cellWatch r="L235"/>
    <cellWatch r="M235"/>
    <cellWatch r="N235"/>
    <cellWatch r="A236"/>
    <cellWatch r="B236"/>
    <cellWatch r="C236"/>
    <cellWatch r="D236"/>
    <cellWatch r="E236"/>
    <cellWatch r="F236"/>
    <cellWatch r="G236"/>
    <cellWatch r="H236"/>
    <cellWatch r="I236"/>
    <cellWatch r="J236"/>
    <cellWatch r="K236"/>
    <cellWatch r="L236"/>
    <cellWatch r="M236"/>
    <cellWatch r="N236"/>
    <cellWatch r="A237"/>
    <cellWatch r="B237"/>
    <cellWatch r="C237"/>
    <cellWatch r="D237"/>
    <cellWatch r="E237"/>
    <cellWatch r="F237"/>
    <cellWatch r="G237"/>
    <cellWatch r="H237"/>
    <cellWatch r="I237"/>
    <cellWatch r="J237"/>
    <cellWatch r="K237"/>
    <cellWatch r="L237"/>
    <cellWatch r="M237"/>
    <cellWatch r="N237"/>
    <cellWatch r="A238"/>
    <cellWatch r="B238"/>
    <cellWatch r="C238"/>
    <cellWatch r="D238"/>
    <cellWatch r="E238"/>
    <cellWatch r="F238"/>
    <cellWatch r="G238"/>
    <cellWatch r="H238"/>
    <cellWatch r="I238"/>
    <cellWatch r="J238"/>
    <cellWatch r="K238"/>
    <cellWatch r="L238"/>
    <cellWatch r="M238"/>
    <cellWatch r="N238"/>
    <cellWatch r="A239"/>
    <cellWatch r="B239"/>
    <cellWatch r="C239"/>
    <cellWatch r="D239"/>
    <cellWatch r="E239"/>
    <cellWatch r="F239"/>
    <cellWatch r="G239"/>
    <cellWatch r="H239"/>
    <cellWatch r="I239"/>
    <cellWatch r="J239"/>
    <cellWatch r="K239"/>
    <cellWatch r="L239"/>
    <cellWatch r="M239"/>
    <cellWatch r="N239"/>
    <cellWatch r="A240"/>
    <cellWatch r="B240"/>
    <cellWatch r="C240"/>
    <cellWatch r="D240"/>
    <cellWatch r="E240"/>
    <cellWatch r="F240"/>
    <cellWatch r="G240"/>
    <cellWatch r="H240"/>
    <cellWatch r="I240"/>
    <cellWatch r="J240"/>
    <cellWatch r="K240"/>
    <cellWatch r="L240"/>
    <cellWatch r="M240"/>
    <cellWatch r="N240"/>
    <cellWatch r="A241"/>
    <cellWatch r="B241"/>
    <cellWatch r="C241"/>
    <cellWatch r="D241"/>
    <cellWatch r="E241"/>
    <cellWatch r="F241"/>
    <cellWatch r="G241"/>
    <cellWatch r="H241"/>
    <cellWatch r="I241"/>
    <cellWatch r="J241"/>
    <cellWatch r="K241"/>
    <cellWatch r="L241"/>
    <cellWatch r="M241"/>
    <cellWatch r="N241"/>
    <cellWatch r="A242"/>
    <cellWatch r="B242"/>
    <cellWatch r="C242"/>
    <cellWatch r="D242"/>
    <cellWatch r="E242"/>
    <cellWatch r="F242"/>
    <cellWatch r="G242"/>
    <cellWatch r="H242"/>
    <cellWatch r="I242"/>
    <cellWatch r="J242"/>
    <cellWatch r="K242"/>
    <cellWatch r="L242"/>
    <cellWatch r="M242"/>
    <cellWatch r="N242"/>
    <cellWatch r="A243"/>
    <cellWatch r="B243"/>
    <cellWatch r="C243"/>
    <cellWatch r="D243"/>
    <cellWatch r="E243"/>
    <cellWatch r="F243"/>
    <cellWatch r="G243"/>
    <cellWatch r="H243"/>
    <cellWatch r="I243"/>
    <cellWatch r="J243"/>
    <cellWatch r="K243"/>
    <cellWatch r="L243"/>
    <cellWatch r="M243"/>
    <cellWatch r="N243"/>
    <cellWatch r="A244"/>
    <cellWatch r="B244"/>
    <cellWatch r="C244"/>
    <cellWatch r="D244"/>
    <cellWatch r="E244"/>
    <cellWatch r="F244"/>
    <cellWatch r="G244"/>
    <cellWatch r="H244"/>
    <cellWatch r="I244"/>
    <cellWatch r="J244"/>
    <cellWatch r="K244"/>
    <cellWatch r="L244"/>
    <cellWatch r="M244"/>
    <cellWatch r="N244"/>
    <cellWatch r="A245"/>
    <cellWatch r="B245"/>
    <cellWatch r="C245"/>
    <cellWatch r="D245"/>
    <cellWatch r="E245"/>
    <cellWatch r="F245"/>
    <cellWatch r="G245"/>
    <cellWatch r="H245"/>
    <cellWatch r="I245"/>
    <cellWatch r="J245"/>
    <cellWatch r="K245"/>
    <cellWatch r="L245"/>
    <cellWatch r="M245"/>
    <cellWatch r="N245"/>
    <cellWatch r="A246"/>
    <cellWatch r="B246"/>
    <cellWatch r="C246"/>
    <cellWatch r="D246"/>
    <cellWatch r="E246"/>
    <cellWatch r="F246"/>
    <cellWatch r="G246"/>
    <cellWatch r="H246"/>
    <cellWatch r="I246"/>
    <cellWatch r="J246"/>
    <cellWatch r="K246"/>
    <cellWatch r="L246"/>
    <cellWatch r="M246"/>
    <cellWatch r="N246"/>
    <cellWatch r="A247"/>
    <cellWatch r="B247"/>
    <cellWatch r="C247"/>
    <cellWatch r="D247"/>
    <cellWatch r="E247"/>
    <cellWatch r="F247"/>
    <cellWatch r="G247"/>
    <cellWatch r="H247"/>
    <cellWatch r="I247"/>
    <cellWatch r="J247"/>
    <cellWatch r="K247"/>
    <cellWatch r="L247"/>
    <cellWatch r="M247"/>
    <cellWatch r="N247"/>
    <cellWatch r="A248"/>
    <cellWatch r="B248"/>
    <cellWatch r="C248"/>
    <cellWatch r="D248"/>
    <cellWatch r="E248"/>
    <cellWatch r="F248"/>
    <cellWatch r="G248"/>
    <cellWatch r="H248"/>
    <cellWatch r="I248"/>
    <cellWatch r="J248"/>
    <cellWatch r="K248"/>
    <cellWatch r="L248"/>
    <cellWatch r="M248"/>
    <cellWatch r="N248"/>
    <cellWatch r="A249"/>
    <cellWatch r="B249"/>
    <cellWatch r="C249"/>
    <cellWatch r="D249"/>
    <cellWatch r="E249"/>
    <cellWatch r="F249"/>
    <cellWatch r="G249"/>
    <cellWatch r="H249"/>
    <cellWatch r="I249"/>
    <cellWatch r="J249"/>
    <cellWatch r="K249"/>
    <cellWatch r="L249"/>
    <cellWatch r="M249"/>
    <cellWatch r="N249"/>
    <cellWatch r="A250"/>
    <cellWatch r="B250"/>
    <cellWatch r="C250"/>
    <cellWatch r="D250"/>
    <cellWatch r="E250"/>
    <cellWatch r="F250"/>
    <cellWatch r="G250"/>
    <cellWatch r="H250"/>
    <cellWatch r="I250"/>
    <cellWatch r="J250"/>
    <cellWatch r="K250"/>
    <cellWatch r="L250"/>
    <cellWatch r="M250"/>
    <cellWatch r="N250"/>
    <cellWatch r="A251"/>
    <cellWatch r="B251"/>
    <cellWatch r="C251"/>
    <cellWatch r="D251"/>
    <cellWatch r="E251"/>
    <cellWatch r="F251"/>
    <cellWatch r="G251"/>
    <cellWatch r="H251"/>
    <cellWatch r="I251"/>
    <cellWatch r="J251"/>
    <cellWatch r="K251"/>
    <cellWatch r="L251"/>
    <cellWatch r="M251"/>
    <cellWatch r="N251"/>
    <cellWatch r="A252"/>
    <cellWatch r="B252"/>
    <cellWatch r="C252"/>
    <cellWatch r="D252"/>
    <cellWatch r="E252"/>
    <cellWatch r="F252"/>
    <cellWatch r="G252"/>
    <cellWatch r="H252"/>
    <cellWatch r="I252"/>
    <cellWatch r="J252"/>
    <cellWatch r="K252"/>
    <cellWatch r="L252"/>
    <cellWatch r="M252"/>
    <cellWatch r="N252"/>
    <cellWatch r="A253"/>
    <cellWatch r="B253"/>
    <cellWatch r="C253"/>
    <cellWatch r="D253"/>
    <cellWatch r="E253"/>
    <cellWatch r="F253"/>
    <cellWatch r="G253"/>
    <cellWatch r="H253"/>
    <cellWatch r="I253"/>
    <cellWatch r="J253"/>
    <cellWatch r="K253"/>
    <cellWatch r="L253"/>
    <cellWatch r="M253"/>
    <cellWatch r="N253"/>
    <cellWatch r="A254"/>
    <cellWatch r="B254"/>
    <cellWatch r="C254"/>
    <cellWatch r="D254"/>
    <cellWatch r="E254"/>
    <cellWatch r="F254"/>
    <cellWatch r="G254"/>
    <cellWatch r="H254"/>
    <cellWatch r="I254"/>
    <cellWatch r="J254"/>
    <cellWatch r="K254"/>
    <cellWatch r="L254"/>
    <cellWatch r="M254"/>
    <cellWatch r="N254"/>
    <cellWatch r="A255"/>
    <cellWatch r="B255"/>
    <cellWatch r="C255"/>
    <cellWatch r="D255"/>
    <cellWatch r="E255"/>
    <cellWatch r="F255"/>
    <cellWatch r="G255"/>
    <cellWatch r="H255"/>
    <cellWatch r="I255"/>
    <cellWatch r="J255"/>
    <cellWatch r="K255"/>
    <cellWatch r="L255"/>
    <cellWatch r="M255"/>
    <cellWatch r="N255"/>
    <cellWatch r="A256"/>
    <cellWatch r="B256"/>
    <cellWatch r="C256"/>
    <cellWatch r="D256"/>
    <cellWatch r="E256"/>
    <cellWatch r="F256"/>
    <cellWatch r="G256"/>
    <cellWatch r="H256"/>
    <cellWatch r="I256"/>
    <cellWatch r="J256"/>
    <cellWatch r="K256"/>
    <cellWatch r="L256"/>
    <cellWatch r="M256"/>
    <cellWatch r="N256"/>
    <cellWatch r="A257"/>
    <cellWatch r="B257"/>
    <cellWatch r="C257"/>
    <cellWatch r="D257"/>
    <cellWatch r="E257"/>
    <cellWatch r="F257"/>
    <cellWatch r="G257"/>
    <cellWatch r="H257"/>
    <cellWatch r="I257"/>
    <cellWatch r="J257"/>
    <cellWatch r="K257"/>
    <cellWatch r="L257"/>
    <cellWatch r="M257"/>
    <cellWatch r="N257"/>
    <cellWatch r="A258"/>
    <cellWatch r="B258"/>
    <cellWatch r="C258"/>
    <cellWatch r="D258"/>
    <cellWatch r="E258"/>
    <cellWatch r="F258"/>
    <cellWatch r="G258"/>
    <cellWatch r="H258"/>
    <cellWatch r="I258"/>
    <cellWatch r="J258"/>
    <cellWatch r="K258"/>
    <cellWatch r="L258"/>
    <cellWatch r="M258"/>
    <cellWatch r="N258"/>
    <cellWatch r="A259"/>
    <cellWatch r="B259"/>
    <cellWatch r="C259"/>
    <cellWatch r="D259"/>
    <cellWatch r="E259"/>
    <cellWatch r="F259"/>
    <cellWatch r="G259"/>
    <cellWatch r="H259"/>
    <cellWatch r="I259"/>
    <cellWatch r="J259"/>
    <cellWatch r="K259"/>
    <cellWatch r="L259"/>
    <cellWatch r="M259"/>
    <cellWatch r="N259"/>
    <cellWatch r="A260"/>
    <cellWatch r="B260"/>
    <cellWatch r="C260"/>
    <cellWatch r="D260"/>
    <cellWatch r="E260"/>
    <cellWatch r="F260"/>
    <cellWatch r="G260"/>
    <cellWatch r="H260"/>
    <cellWatch r="I260"/>
    <cellWatch r="J260"/>
    <cellWatch r="K260"/>
    <cellWatch r="L260"/>
    <cellWatch r="M260"/>
    <cellWatch r="N260"/>
    <cellWatch r="A261"/>
    <cellWatch r="B261"/>
    <cellWatch r="C261"/>
    <cellWatch r="D261"/>
    <cellWatch r="E261"/>
    <cellWatch r="F261"/>
    <cellWatch r="G261"/>
    <cellWatch r="H261"/>
    <cellWatch r="I261"/>
    <cellWatch r="J261"/>
    <cellWatch r="K261"/>
    <cellWatch r="L261"/>
    <cellWatch r="M261"/>
    <cellWatch r="N261"/>
    <cellWatch r="A262"/>
    <cellWatch r="B262"/>
    <cellWatch r="C262"/>
    <cellWatch r="D262"/>
    <cellWatch r="E262"/>
    <cellWatch r="F262"/>
    <cellWatch r="G262"/>
    <cellWatch r="H262"/>
    <cellWatch r="I262"/>
    <cellWatch r="J262"/>
    <cellWatch r="K262"/>
    <cellWatch r="L262"/>
    <cellWatch r="M262"/>
    <cellWatch r="N262"/>
    <cellWatch r="A263"/>
    <cellWatch r="B263"/>
    <cellWatch r="C263"/>
    <cellWatch r="D263"/>
    <cellWatch r="E263"/>
    <cellWatch r="F263"/>
    <cellWatch r="G263"/>
    <cellWatch r="H263"/>
    <cellWatch r="I263"/>
    <cellWatch r="J263"/>
    <cellWatch r="K263"/>
    <cellWatch r="L263"/>
    <cellWatch r="M263"/>
    <cellWatch r="N263"/>
    <cellWatch r="A264"/>
    <cellWatch r="B264"/>
    <cellWatch r="C264"/>
    <cellWatch r="D264"/>
    <cellWatch r="E264"/>
    <cellWatch r="F264"/>
    <cellWatch r="G264"/>
    <cellWatch r="H264"/>
    <cellWatch r="I264"/>
    <cellWatch r="J264"/>
    <cellWatch r="K264"/>
    <cellWatch r="L264"/>
    <cellWatch r="M264"/>
    <cellWatch r="N264"/>
    <cellWatch r="A265"/>
    <cellWatch r="B265"/>
    <cellWatch r="C265"/>
    <cellWatch r="D265"/>
    <cellWatch r="E265"/>
    <cellWatch r="F265"/>
    <cellWatch r="G265"/>
    <cellWatch r="H265"/>
    <cellWatch r="I265"/>
    <cellWatch r="J265"/>
    <cellWatch r="K265"/>
    <cellWatch r="L265"/>
    <cellWatch r="M265"/>
    <cellWatch r="N265"/>
    <cellWatch r="A266"/>
    <cellWatch r="B266"/>
    <cellWatch r="C266"/>
    <cellWatch r="D266"/>
    <cellWatch r="E266"/>
    <cellWatch r="F266"/>
    <cellWatch r="G266"/>
    <cellWatch r="H266"/>
    <cellWatch r="I266"/>
    <cellWatch r="J266"/>
    <cellWatch r="K266"/>
    <cellWatch r="L266"/>
    <cellWatch r="M266"/>
    <cellWatch r="N266"/>
    <cellWatch r="A267"/>
    <cellWatch r="B267"/>
    <cellWatch r="C267"/>
    <cellWatch r="D267"/>
    <cellWatch r="E267"/>
    <cellWatch r="F267"/>
    <cellWatch r="G267"/>
    <cellWatch r="H267"/>
    <cellWatch r="I267"/>
    <cellWatch r="J267"/>
    <cellWatch r="K267"/>
    <cellWatch r="L267"/>
    <cellWatch r="M267"/>
    <cellWatch r="N267"/>
    <cellWatch r="A268"/>
    <cellWatch r="B268"/>
    <cellWatch r="C268"/>
    <cellWatch r="D268"/>
    <cellWatch r="E268"/>
    <cellWatch r="F268"/>
    <cellWatch r="G268"/>
    <cellWatch r="H268"/>
    <cellWatch r="I268"/>
    <cellWatch r="J268"/>
    <cellWatch r="K268"/>
    <cellWatch r="L268"/>
    <cellWatch r="M268"/>
    <cellWatch r="N268"/>
    <cellWatch r="A269"/>
    <cellWatch r="B269"/>
    <cellWatch r="C269"/>
    <cellWatch r="D269"/>
    <cellWatch r="E269"/>
    <cellWatch r="F269"/>
    <cellWatch r="G269"/>
    <cellWatch r="H269"/>
    <cellWatch r="I269"/>
    <cellWatch r="J269"/>
    <cellWatch r="K269"/>
    <cellWatch r="L269"/>
    <cellWatch r="M269"/>
    <cellWatch r="N269"/>
    <cellWatch r="A270"/>
    <cellWatch r="B270"/>
    <cellWatch r="C270"/>
    <cellWatch r="D270"/>
    <cellWatch r="E270"/>
    <cellWatch r="F270"/>
    <cellWatch r="G270"/>
    <cellWatch r="H270"/>
    <cellWatch r="I270"/>
    <cellWatch r="J270"/>
    <cellWatch r="K270"/>
    <cellWatch r="L270"/>
    <cellWatch r="M270"/>
    <cellWatch r="N270"/>
    <cellWatch r="A271"/>
    <cellWatch r="B271"/>
    <cellWatch r="C271"/>
    <cellWatch r="D271"/>
    <cellWatch r="E271"/>
    <cellWatch r="F271"/>
    <cellWatch r="G271"/>
    <cellWatch r="H271"/>
    <cellWatch r="I271"/>
    <cellWatch r="J271"/>
    <cellWatch r="K271"/>
    <cellWatch r="L271"/>
    <cellWatch r="M271"/>
    <cellWatch r="N271"/>
    <cellWatch r="A272"/>
    <cellWatch r="B272"/>
    <cellWatch r="C272"/>
    <cellWatch r="D272"/>
    <cellWatch r="E272"/>
    <cellWatch r="F272"/>
    <cellWatch r="G272"/>
    <cellWatch r="H272"/>
    <cellWatch r="I272"/>
    <cellWatch r="J272"/>
    <cellWatch r="K272"/>
    <cellWatch r="L272"/>
    <cellWatch r="M272"/>
    <cellWatch r="N272"/>
    <cellWatch r="A273"/>
    <cellWatch r="B273"/>
    <cellWatch r="C273"/>
    <cellWatch r="D273"/>
    <cellWatch r="E273"/>
    <cellWatch r="F273"/>
    <cellWatch r="G273"/>
    <cellWatch r="H273"/>
    <cellWatch r="I273"/>
    <cellWatch r="J273"/>
    <cellWatch r="K273"/>
    <cellWatch r="L273"/>
    <cellWatch r="M273"/>
    <cellWatch r="N273"/>
    <cellWatch r="A274"/>
    <cellWatch r="B274"/>
    <cellWatch r="C274"/>
    <cellWatch r="D274"/>
    <cellWatch r="E274"/>
    <cellWatch r="F274"/>
    <cellWatch r="G274"/>
    <cellWatch r="H274"/>
    <cellWatch r="I274"/>
    <cellWatch r="J274"/>
    <cellWatch r="K274"/>
    <cellWatch r="L274"/>
    <cellWatch r="M274"/>
    <cellWatch r="N274"/>
    <cellWatch r="A275"/>
    <cellWatch r="B275"/>
    <cellWatch r="C275"/>
    <cellWatch r="D275"/>
    <cellWatch r="E275"/>
    <cellWatch r="F275"/>
    <cellWatch r="G275"/>
    <cellWatch r="H275"/>
    <cellWatch r="I275"/>
    <cellWatch r="J275"/>
    <cellWatch r="K275"/>
    <cellWatch r="L275"/>
    <cellWatch r="M275"/>
    <cellWatch r="N275"/>
    <cellWatch r="A276"/>
    <cellWatch r="B276"/>
    <cellWatch r="C276"/>
    <cellWatch r="D276"/>
    <cellWatch r="E276"/>
    <cellWatch r="F276"/>
    <cellWatch r="G276"/>
    <cellWatch r="H276"/>
    <cellWatch r="I276"/>
    <cellWatch r="J276"/>
    <cellWatch r="K276"/>
    <cellWatch r="L276"/>
    <cellWatch r="M276"/>
    <cellWatch r="N276"/>
    <cellWatch r="A277"/>
    <cellWatch r="B277"/>
    <cellWatch r="C277"/>
    <cellWatch r="D277"/>
    <cellWatch r="E277"/>
    <cellWatch r="F277"/>
    <cellWatch r="G277"/>
    <cellWatch r="H277"/>
    <cellWatch r="I277"/>
    <cellWatch r="J277"/>
    <cellWatch r="K277"/>
    <cellWatch r="L277"/>
    <cellWatch r="M277"/>
    <cellWatch r="N277"/>
    <cellWatch r="A278"/>
    <cellWatch r="B278"/>
    <cellWatch r="C278"/>
    <cellWatch r="D278"/>
    <cellWatch r="E278"/>
    <cellWatch r="F278"/>
    <cellWatch r="G278"/>
    <cellWatch r="H278"/>
    <cellWatch r="I278"/>
    <cellWatch r="J278"/>
    <cellWatch r="K278"/>
    <cellWatch r="L278"/>
    <cellWatch r="M278"/>
    <cellWatch r="N278"/>
    <cellWatch r="A279"/>
    <cellWatch r="B279"/>
    <cellWatch r="C279"/>
    <cellWatch r="D279"/>
    <cellWatch r="E279"/>
    <cellWatch r="F279"/>
    <cellWatch r="G279"/>
    <cellWatch r="H279"/>
    <cellWatch r="I279"/>
    <cellWatch r="J279"/>
    <cellWatch r="K279"/>
    <cellWatch r="L279"/>
    <cellWatch r="M279"/>
    <cellWatch r="N279"/>
    <cellWatch r="A280"/>
    <cellWatch r="B280"/>
    <cellWatch r="C280"/>
    <cellWatch r="D280"/>
    <cellWatch r="E280"/>
    <cellWatch r="F280"/>
    <cellWatch r="G280"/>
    <cellWatch r="H280"/>
    <cellWatch r="I280"/>
    <cellWatch r="J280"/>
    <cellWatch r="K280"/>
    <cellWatch r="L280"/>
    <cellWatch r="M280"/>
    <cellWatch r="N280"/>
    <cellWatch r="A281"/>
    <cellWatch r="B281"/>
    <cellWatch r="C281"/>
    <cellWatch r="D281"/>
    <cellWatch r="E281"/>
    <cellWatch r="F281"/>
    <cellWatch r="G281"/>
    <cellWatch r="H281"/>
    <cellWatch r="I281"/>
    <cellWatch r="J281"/>
    <cellWatch r="K281"/>
    <cellWatch r="L281"/>
    <cellWatch r="M281"/>
    <cellWatch r="N281"/>
    <cellWatch r="A282"/>
    <cellWatch r="B282"/>
    <cellWatch r="C282"/>
    <cellWatch r="D282"/>
    <cellWatch r="E282"/>
    <cellWatch r="F282"/>
    <cellWatch r="G282"/>
    <cellWatch r="H282"/>
    <cellWatch r="I282"/>
    <cellWatch r="J282"/>
    <cellWatch r="K282"/>
    <cellWatch r="L282"/>
    <cellWatch r="M282"/>
    <cellWatch r="N282"/>
    <cellWatch r="A283"/>
    <cellWatch r="B283"/>
    <cellWatch r="C283"/>
    <cellWatch r="D283"/>
    <cellWatch r="E283"/>
    <cellWatch r="F283"/>
    <cellWatch r="G283"/>
    <cellWatch r="H283"/>
    <cellWatch r="I283"/>
    <cellWatch r="J283"/>
    <cellWatch r="K283"/>
    <cellWatch r="L283"/>
    <cellWatch r="M283"/>
    <cellWatch r="N283"/>
    <cellWatch r="A284"/>
    <cellWatch r="B284"/>
    <cellWatch r="C284"/>
    <cellWatch r="D284"/>
    <cellWatch r="E284"/>
    <cellWatch r="F284"/>
    <cellWatch r="G284"/>
    <cellWatch r="H284"/>
    <cellWatch r="I284"/>
    <cellWatch r="J284"/>
    <cellWatch r="K284"/>
    <cellWatch r="L284"/>
    <cellWatch r="M284"/>
    <cellWatch r="N284"/>
    <cellWatch r="A285"/>
    <cellWatch r="B285"/>
    <cellWatch r="C285"/>
    <cellWatch r="D285"/>
    <cellWatch r="E285"/>
    <cellWatch r="F285"/>
    <cellWatch r="G285"/>
    <cellWatch r="H285"/>
    <cellWatch r="I285"/>
    <cellWatch r="J285"/>
    <cellWatch r="K285"/>
    <cellWatch r="L285"/>
    <cellWatch r="M285"/>
    <cellWatch r="N285"/>
    <cellWatch r="A286"/>
    <cellWatch r="B286"/>
    <cellWatch r="C286"/>
    <cellWatch r="D286"/>
    <cellWatch r="E286"/>
    <cellWatch r="F286"/>
    <cellWatch r="G286"/>
    <cellWatch r="H286"/>
    <cellWatch r="I286"/>
    <cellWatch r="J286"/>
    <cellWatch r="K286"/>
    <cellWatch r="L286"/>
    <cellWatch r="M286"/>
    <cellWatch r="N286"/>
    <cellWatch r="A287"/>
    <cellWatch r="B287"/>
    <cellWatch r="C287"/>
    <cellWatch r="D287"/>
    <cellWatch r="E287"/>
    <cellWatch r="F287"/>
    <cellWatch r="G287"/>
    <cellWatch r="H287"/>
    <cellWatch r="I287"/>
    <cellWatch r="J287"/>
    <cellWatch r="K287"/>
    <cellWatch r="L287"/>
    <cellWatch r="M287"/>
    <cellWatch r="N287"/>
    <cellWatch r="A288"/>
    <cellWatch r="B288"/>
    <cellWatch r="C288"/>
    <cellWatch r="D288"/>
    <cellWatch r="E288"/>
    <cellWatch r="F288"/>
    <cellWatch r="G288"/>
    <cellWatch r="H288"/>
    <cellWatch r="I288"/>
    <cellWatch r="J288"/>
    <cellWatch r="K288"/>
    <cellWatch r="L288"/>
    <cellWatch r="M288"/>
    <cellWatch r="N288"/>
    <cellWatch r="A289"/>
    <cellWatch r="B289"/>
    <cellWatch r="C289"/>
    <cellWatch r="D289"/>
    <cellWatch r="E289"/>
    <cellWatch r="F289"/>
    <cellWatch r="G289"/>
    <cellWatch r="H289"/>
    <cellWatch r="I289"/>
    <cellWatch r="J289"/>
    <cellWatch r="K289"/>
    <cellWatch r="L289"/>
    <cellWatch r="M289"/>
    <cellWatch r="N289"/>
    <cellWatch r="A290"/>
    <cellWatch r="B290"/>
    <cellWatch r="C290"/>
    <cellWatch r="D290"/>
    <cellWatch r="E290"/>
    <cellWatch r="F290"/>
    <cellWatch r="G290"/>
    <cellWatch r="H290"/>
    <cellWatch r="I290"/>
    <cellWatch r="J290"/>
    <cellWatch r="K290"/>
    <cellWatch r="L290"/>
    <cellWatch r="M290"/>
    <cellWatch r="N290"/>
    <cellWatch r="A291"/>
    <cellWatch r="B291"/>
    <cellWatch r="C291"/>
    <cellWatch r="D291"/>
    <cellWatch r="E291"/>
    <cellWatch r="F291"/>
    <cellWatch r="G291"/>
    <cellWatch r="H291"/>
    <cellWatch r="I291"/>
    <cellWatch r="J291"/>
    <cellWatch r="K291"/>
    <cellWatch r="L291"/>
    <cellWatch r="M291"/>
    <cellWatch r="N291"/>
    <cellWatch r="A292"/>
    <cellWatch r="B292"/>
    <cellWatch r="C292"/>
    <cellWatch r="D292"/>
    <cellWatch r="E292"/>
    <cellWatch r="F292"/>
    <cellWatch r="G292"/>
    <cellWatch r="H292"/>
    <cellWatch r="I292"/>
    <cellWatch r="J292"/>
    <cellWatch r="K292"/>
    <cellWatch r="L292"/>
    <cellWatch r="M292"/>
    <cellWatch r="N292"/>
    <cellWatch r="A293"/>
    <cellWatch r="B293"/>
    <cellWatch r="C293"/>
    <cellWatch r="D293"/>
    <cellWatch r="E293"/>
    <cellWatch r="F293"/>
    <cellWatch r="G293"/>
    <cellWatch r="H293"/>
    <cellWatch r="I293"/>
    <cellWatch r="J293"/>
    <cellWatch r="K293"/>
    <cellWatch r="L293"/>
    <cellWatch r="M293"/>
    <cellWatch r="N293"/>
    <cellWatch r="A294"/>
    <cellWatch r="B294"/>
    <cellWatch r="C294"/>
    <cellWatch r="D294"/>
    <cellWatch r="E294"/>
    <cellWatch r="F294"/>
    <cellWatch r="G294"/>
    <cellWatch r="H294"/>
    <cellWatch r="I294"/>
    <cellWatch r="J294"/>
    <cellWatch r="K294"/>
    <cellWatch r="L294"/>
    <cellWatch r="M294"/>
    <cellWatch r="N294"/>
    <cellWatch r="A295"/>
    <cellWatch r="B295"/>
    <cellWatch r="C295"/>
    <cellWatch r="D295"/>
    <cellWatch r="E295"/>
    <cellWatch r="F295"/>
    <cellWatch r="G295"/>
    <cellWatch r="H295"/>
    <cellWatch r="I295"/>
    <cellWatch r="J295"/>
    <cellWatch r="K295"/>
    <cellWatch r="L295"/>
    <cellWatch r="M295"/>
    <cellWatch r="N295"/>
    <cellWatch r="A296"/>
    <cellWatch r="B296"/>
    <cellWatch r="C296"/>
    <cellWatch r="D296"/>
    <cellWatch r="E296"/>
    <cellWatch r="F296"/>
    <cellWatch r="G296"/>
    <cellWatch r="H296"/>
    <cellWatch r="I296"/>
    <cellWatch r="J296"/>
    <cellWatch r="K296"/>
    <cellWatch r="L296"/>
    <cellWatch r="M296"/>
    <cellWatch r="N296"/>
    <cellWatch r="A297"/>
    <cellWatch r="B297"/>
    <cellWatch r="C297"/>
    <cellWatch r="D297"/>
    <cellWatch r="E297"/>
    <cellWatch r="F297"/>
    <cellWatch r="G297"/>
    <cellWatch r="H297"/>
    <cellWatch r="I297"/>
    <cellWatch r="J297"/>
    <cellWatch r="K297"/>
    <cellWatch r="L297"/>
    <cellWatch r="M297"/>
    <cellWatch r="N297"/>
    <cellWatch r="A298"/>
    <cellWatch r="B298"/>
    <cellWatch r="C298"/>
    <cellWatch r="D298"/>
    <cellWatch r="E298"/>
    <cellWatch r="F298"/>
    <cellWatch r="G298"/>
    <cellWatch r="H298"/>
    <cellWatch r="I298"/>
    <cellWatch r="J298"/>
    <cellWatch r="K298"/>
    <cellWatch r="L298"/>
    <cellWatch r="M298"/>
    <cellWatch r="N298"/>
    <cellWatch r="A299"/>
    <cellWatch r="B299"/>
    <cellWatch r="C299"/>
    <cellWatch r="D299"/>
    <cellWatch r="E299"/>
    <cellWatch r="F299"/>
    <cellWatch r="G299"/>
    <cellWatch r="H299"/>
    <cellWatch r="I299"/>
    <cellWatch r="J299"/>
    <cellWatch r="K299"/>
    <cellWatch r="L299"/>
    <cellWatch r="M299"/>
    <cellWatch r="N299"/>
    <cellWatch r="A300"/>
    <cellWatch r="B300"/>
    <cellWatch r="C300"/>
    <cellWatch r="D300"/>
    <cellWatch r="E300"/>
    <cellWatch r="F300"/>
    <cellWatch r="G300"/>
    <cellWatch r="H300"/>
    <cellWatch r="I300"/>
    <cellWatch r="J300"/>
    <cellWatch r="K300"/>
    <cellWatch r="L300"/>
    <cellWatch r="M300"/>
    <cellWatch r="N300"/>
    <cellWatch r="A301"/>
    <cellWatch r="B301"/>
    <cellWatch r="C301"/>
    <cellWatch r="D301"/>
    <cellWatch r="E301"/>
    <cellWatch r="F301"/>
    <cellWatch r="G301"/>
    <cellWatch r="H301"/>
    <cellWatch r="I301"/>
    <cellWatch r="J301"/>
    <cellWatch r="K301"/>
    <cellWatch r="L301"/>
    <cellWatch r="M301"/>
    <cellWatch r="N301"/>
    <cellWatch r="A302"/>
    <cellWatch r="B302"/>
    <cellWatch r="C302"/>
    <cellWatch r="D302"/>
    <cellWatch r="E302"/>
    <cellWatch r="F302"/>
    <cellWatch r="G302"/>
    <cellWatch r="H302"/>
    <cellWatch r="I302"/>
    <cellWatch r="J302"/>
    <cellWatch r="K302"/>
    <cellWatch r="L302"/>
    <cellWatch r="M302"/>
    <cellWatch r="N302"/>
    <cellWatch r="A303"/>
    <cellWatch r="B303"/>
    <cellWatch r="C303"/>
    <cellWatch r="D303"/>
    <cellWatch r="E303"/>
    <cellWatch r="F303"/>
    <cellWatch r="G303"/>
    <cellWatch r="H303"/>
    <cellWatch r="I303"/>
    <cellWatch r="J303"/>
    <cellWatch r="K303"/>
    <cellWatch r="L303"/>
    <cellWatch r="M303"/>
    <cellWatch r="N303"/>
    <cellWatch r="A304"/>
    <cellWatch r="B304"/>
    <cellWatch r="C304"/>
    <cellWatch r="D304"/>
    <cellWatch r="E304"/>
    <cellWatch r="F304"/>
    <cellWatch r="G304"/>
    <cellWatch r="H304"/>
    <cellWatch r="I304"/>
    <cellWatch r="J304"/>
    <cellWatch r="K304"/>
    <cellWatch r="L304"/>
    <cellWatch r="M304"/>
    <cellWatch r="N304"/>
    <cellWatch r="A305"/>
    <cellWatch r="B305"/>
    <cellWatch r="C305"/>
    <cellWatch r="D305"/>
    <cellWatch r="E305"/>
    <cellWatch r="F305"/>
    <cellWatch r="G305"/>
    <cellWatch r="H305"/>
    <cellWatch r="I305"/>
    <cellWatch r="J305"/>
    <cellWatch r="K305"/>
    <cellWatch r="L305"/>
    <cellWatch r="M305"/>
    <cellWatch r="N305"/>
    <cellWatch r="A306"/>
    <cellWatch r="B306"/>
    <cellWatch r="C306"/>
    <cellWatch r="D306"/>
    <cellWatch r="E306"/>
    <cellWatch r="F306"/>
    <cellWatch r="G306"/>
    <cellWatch r="H306"/>
    <cellWatch r="I306"/>
    <cellWatch r="J306"/>
    <cellWatch r="K306"/>
    <cellWatch r="L306"/>
    <cellWatch r="M306"/>
    <cellWatch r="N306"/>
    <cellWatch r="A307"/>
    <cellWatch r="B307"/>
    <cellWatch r="C307"/>
    <cellWatch r="D307"/>
    <cellWatch r="E307"/>
    <cellWatch r="F307"/>
    <cellWatch r="G307"/>
    <cellWatch r="H307"/>
    <cellWatch r="I307"/>
    <cellWatch r="J307"/>
    <cellWatch r="K307"/>
    <cellWatch r="L307"/>
    <cellWatch r="M307"/>
    <cellWatch r="N307"/>
    <cellWatch r="A308"/>
    <cellWatch r="B308"/>
    <cellWatch r="C308"/>
    <cellWatch r="D308"/>
    <cellWatch r="E308"/>
    <cellWatch r="F308"/>
    <cellWatch r="G308"/>
    <cellWatch r="H308"/>
    <cellWatch r="I308"/>
    <cellWatch r="J308"/>
    <cellWatch r="K308"/>
    <cellWatch r="L308"/>
    <cellWatch r="M308"/>
    <cellWatch r="N308"/>
    <cellWatch r="A309"/>
    <cellWatch r="B309"/>
    <cellWatch r="C309"/>
    <cellWatch r="D309"/>
    <cellWatch r="E309"/>
    <cellWatch r="F309"/>
    <cellWatch r="G309"/>
    <cellWatch r="H309"/>
    <cellWatch r="I309"/>
    <cellWatch r="J309"/>
    <cellWatch r="K309"/>
    <cellWatch r="L309"/>
    <cellWatch r="M309"/>
    <cellWatch r="N309"/>
    <cellWatch r="A310"/>
    <cellWatch r="B310"/>
    <cellWatch r="C310"/>
    <cellWatch r="D310"/>
    <cellWatch r="E310"/>
    <cellWatch r="F310"/>
    <cellWatch r="G310"/>
    <cellWatch r="H310"/>
    <cellWatch r="I310"/>
    <cellWatch r="J310"/>
    <cellWatch r="K310"/>
    <cellWatch r="L310"/>
    <cellWatch r="M310"/>
    <cellWatch r="N310"/>
    <cellWatch r="A311"/>
    <cellWatch r="B311"/>
    <cellWatch r="C311"/>
    <cellWatch r="D311"/>
    <cellWatch r="E311"/>
    <cellWatch r="F311"/>
    <cellWatch r="G311"/>
    <cellWatch r="H311"/>
    <cellWatch r="I311"/>
    <cellWatch r="J311"/>
    <cellWatch r="K311"/>
    <cellWatch r="L311"/>
    <cellWatch r="M311"/>
    <cellWatch r="N311"/>
    <cellWatch r="A312"/>
    <cellWatch r="B312"/>
    <cellWatch r="C312"/>
    <cellWatch r="D312"/>
    <cellWatch r="E312"/>
    <cellWatch r="F312"/>
    <cellWatch r="G312"/>
    <cellWatch r="H312"/>
    <cellWatch r="I312"/>
    <cellWatch r="J312"/>
    <cellWatch r="K312"/>
    <cellWatch r="L312"/>
    <cellWatch r="M312"/>
    <cellWatch r="N312"/>
    <cellWatch r="A313"/>
    <cellWatch r="B313"/>
    <cellWatch r="C313"/>
    <cellWatch r="D313"/>
    <cellWatch r="E313"/>
    <cellWatch r="F313"/>
    <cellWatch r="G313"/>
    <cellWatch r="H313"/>
    <cellWatch r="I313"/>
    <cellWatch r="J313"/>
    <cellWatch r="K313"/>
    <cellWatch r="L313"/>
    <cellWatch r="M313"/>
    <cellWatch r="N313"/>
    <cellWatch r="A314"/>
    <cellWatch r="B314"/>
    <cellWatch r="C314"/>
    <cellWatch r="D314"/>
    <cellWatch r="E314"/>
    <cellWatch r="F314"/>
    <cellWatch r="G314"/>
    <cellWatch r="H314"/>
    <cellWatch r="I314"/>
    <cellWatch r="J314"/>
    <cellWatch r="K314"/>
    <cellWatch r="L314"/>
    <cellWatch r="M314"/>
    <cellWatch r="N314"/>
    <cellWatch r="A315"/>
    <cellWatch r="B315"/>
    <cellWatch r="C315"/>
    <cellWatch r="D315"/>
    <cellWatch r="E315"/>
    <cellWatch r="F315"/>
    <cellWatch r="G315"/>
    <cellWatch r="H315"/>
    <cellWatch r="I315"/>
    <cellWatch r="J315"/>
    <cellWatch r="K315"/>
    <cellWatch r="L315"/>
    <cellWatch r="M315"/>
    <cellWatch r="N315"/>
    <cellWatch r="A316"/>
    <cellWatch r="B316"/>
    <cellWatch r="C316"/>
    <cellWatch r="D316"/>
    <cellWatch r="E316"/>
    <cellWatch r="F316"/>
    <cellWatch r="G316"/>
    <cellWatch r="H316"/>
    <cellWatch r="I316"/>
    <cellWatch r="J316"/>
    <cellWatch r="K316"/>
    <cellWatch r="L316"/>
    <cellWatch r="M316"/>
    <cellWatch r="N316"/>
    <cellWatch r="A317"/>
    <cellWatch r="B317"/>
    <cellWatch r="C317"/>
    <cellWatch r="D317"/>
    <cellWatch r="E317"/>
    <cellWatch r="F317"/>
    <cellWatch r="G317"/>
    <cellWatch r="H317"/>
    <cellWatch r="I317"/>
    <cellWatch r="J317"/>
    <cellWatch r="K317"/>
    <cellWatch r="L317"/>
    <cellWatch r="M317"/>
    <cellWatch r="N317"/>
    <cellWatch r="A318"/>
    <cellWatch r="B318"/>
    <cellWatch r="C318"/>
    <cellWatch r="D318"/>
    <cellWatch r="E318"/>
    <cellWatch r="F318"/>
    <cellWatch r="G318"/>
    <cellWatch r="H318"/>
    <cellWatch r="I318"/>
    <cellWatch r="J318"/>
    <cellWatch r="K318"/>
    <cellWatch r="L318"/>
    <cellWatch r="M318"/>
    <cellWatch r="N318"/>
    <cellWatch r="A319"/>
    <cellWatch r="B319"/>
    <cellWatch r="C319"/>
    <cellWatch r="D319"/>
    <cellWatch r="E319"/>
    <cellWatch r="F319"/>
    <cellWatch r="G319"/>
    <cellWatch r="H319"/>
    <cellWatch r="I319"/>
    <cellWatch r="J319"/>
    <cellWatch r="K319"/>
    <cellWatch r="L319"/>
    <cellWatch r="M319"/>
    <cellWatch r="N319"/>
    <cellWatch r="A320"/>
    <cellWatch r="B320"/>
    <cellWatch r="C320"/>
    <cellWatch r="D320"/>
    <cellWatch r="E320"/>
    <cellWatch r="F320"/>
    <cellWatch r="G320"/>
    <cellWatch r="H320"/>
    <cellWatch r="I320"/>
    <cellWatch r="J320"/>
    <cellWatch r="K320"/>
    <cellWatch r="L320"/>
    <cellWatch r="M320"/>
    <cellWatch r="N320"/>
    <cellWatch r="A321"/>
    <cellWatch r="B321"/>
    <cellWatch r="C321"/>
    <cellWatch r="D321"/>
    <cellWatch r="E321"/>
    <cellWatch r="F321"/>
    <cellWatch r="G321"/>
    <cellWatch r="H321"/>
    <cellWatch r="I321"/>
    <cellWatch r="J321"/>
    <cellWatch r="K321"/>
    <cellWatch r="L321"/>
    <cellWatch r="M321"/>
    <cellWatch r="N321"/>
    <cellWatch r="A322"/>
    <cellWatch r="B322"/>
    <cellWatch r="C322"/>
    <cellWatch r="D322"/>
    <cellWatch r="E322"/>
    <cellWatch r="F322"/>
    <cellWatch r="G322"/>
    <cellWatch r="H322"/>
    <cellWatch r="I322"/>
    <cellWatch r="J322"/>
    <cellWatch r="K322"/>
    <cellWatch r="L322"/>
    <cellWatch r="M322"/>
    <cellWatch r="N322"/>
    <cellWatch r="A323"/>
    <cellWatch r="B323"/>
    <cellWatch r="C323"/>
    <cellWatch r="D323"/>
    <cellWatch r="E323"/>
    <cellWatch r="F323"/>
    <cellWatch r="G323"/>
    <cellWatch r="H323"/>
    <cellWatch r="I323"/>
    <cellWatch r="J323"/>
    <cellWatch r="K323"/>
    <cellWatch r="L323"/>
    <cellWatch r="M323"/>
    <cellWatch r="N323"/>
    <cellWatch r="A324"/>
    <cellWatch r="B324"/>
    <cellWatch r="C324"/>
    <cellWatch r="D324"/>
    <cellWatch r="E324"/>
    <cellWatch r="F324"/>
    <cellWatch r="G324"/>
    <cellWatch r="H324"/>
    <cellWatch r="I324"/>
    <cellWatch r="J324"/>
    <cellWatch r="K324"/>
    <cellWatch r="L324"/>
    <cellWatch r="M324"/>
    <cellWatch r="N324"/>
    <cellWatch r="A325"/>
    <cellWatch r="B325"/>
    <cellWatch r="C325"/>
    <cellWatch r="D325"/>
    <cellWatch r="E325"/>
    <cellWatch r="F325"/>
    <cellWatch r="G325"/>
    <cellWatch r="H325"/>
    <cellWatch r="I325"/>
    <cellWatch r="J325"/>
    <cellWatch r="K325"/>
    <cellWatch r="L325"/>
    <cellWatch r="M325"/>
    <cellWatch r="N325"/>
    <cellWatch r="A326"/>
    <cellWatch r="B326"/>
    <cellWatch r="C326"/>
    <cellWatch r="D326"/>
    <cellWatch r="E326"/>
    <cellWatch r="F326"/>
    <cellWatch r="G326"/>
    <cellWatch r="H326"/>
    <cellWatch r="I326"/>
    <cellWatch r="J326"/>
    <cellWatch r="K326"/>
    <cellWatch r="L326"/>
    <cellWatch r="M326"/>
    <cellWatch r="N326"/>
    <cellWatch r="A327"/>
    <cellWatch r="B327"/>
    <cellWatch r="C327"/>
    <cellWatch r="D327"/>
    <cellWatch r="E327"/>
    <cellWatch r="F327"/>
    <cellWatch r="G327"/>
    <cellWatch r="H327"/>
    <cellWatch r="I327"/>
    <cellWatch r="J327"/>
    <cellWatch r="K327"/>
    <cellWatch r="L327"/>
    <cellWatch r="M327"/>
    <cellWatch r="N327"/>
    <cellWatch r="A328"/>
    <cellWatch r="B328"/>
    <cellWatch r="C328"/>
    <cellWatch r="D328"/>
    <cellWatch r="E328"/>
    <cellWatch r="F328"/>
    <cellWatch r="G328"/>
    <cellWatch r="H328"/>
    <cellWatch r="I328"/>
    <cellWatch r="J328"/>
    <cellWatch r="K328"/>
    <cellWatch r="L328"/>
    <cellWatch r="M328"/>
    <cellWatch r="N328"/>
    <cellWatch r="A329"/>
    <cellWatch r="B329"/>
    <cellWatch r="C329"/>
    <cellWatch r="D329"/>
    <cellWatch r="E329"/>
    <cellWatch r="F329"/>
    <cellWatch r="G329"/>
    <cellWatch r="H329"/>
    <cellWatch r="I329"/>
    <cellWatch r="J329"/>
    <cellWatch r="K329"/>
    <cellWatch r="L329"/>
    <cellWatch r="M329"/>
    <cellWatch r="N329"/>
    <cellWatch r="A330"/>
    <cellWatch r="B330"/>
    <cellWatch r="C330"/>
    <cellWatch r="D330"/>
    <cellWatch r="E330"/>
    <cellWatch r="F330"/>
    <cellWatch r="G330"/>
    <cellWatch r="H330"/>
    <cellWatch r="I330"/>
    <cellWatch r="J330"/>
    <cellWatch r="K330"/>
    <cellWatch r="L330"/>
    <cellWatch r="M330"/>
    <cellWatch r="N330"/>
    <cellWatch r="A331"/>
    <cellWatch r="B331"/>
    <cellWatch r="C331"/>
    <cellWatch r="D331"/>
    <cellWatch r="E331"/>
    <cellWatch r="F331"/>
    <cellWatch r="G331"/>
    <cellWatch r="H331"/>
    <cellWatch r="I331"/>
    <cellWatch r="J331"/>
    <cellWatch r="K331"/>
    <cellWatch r="L331"/>
    <cellWatch r="M331"/>
    <cellWatch r="N331"/>
    <cellWatch r="A332"/>
    <cellWatch r="B332"/>
    <cellWatch r="C332"/>
    <cellWatch r="D332"/>
    <cellWatch r="E332"/>
    <cellWatch r="F332"/>
    <cellWatch r="G332"/>
    <cellWatch r="H332"/>
    <cellWatch r="I332"/>
    <cellWatch r="J332"/>
    <cellWatch r="K332"/>
    <cellWatch r="L332"/>
    <cellWatch r="M332"/>
    <cellWatch r="N332"/>
    <cellWatch r="A333"/>
    <cellWatch r="B333"/>
    <cellWatch r="C333"/>
    <cellWatch r="D333"/>
    <cellWatch r="E333"/>
    <cellWatch r="F333"/>
    <cellWatch r="G333"/>
    <cellWatch r="H333"/>
    <cellWatch r="I333"/>
    <cellWatch r="J333"/>
    <cellWatch r="K333"/>
    <cellWatch r="L333"/>
    <cellWatch r="M333"/>
    <cellWatch r="N333"/>
    <cellWatch r="A334"/>
    <cellWatch r="B334"/>
    <cellWatch r="C334"/>
    <cellWatch r="D334"/>
    <cellWatch r="E334"/>
    <cellWatch r="F334"/>
    <cellWatch r="G334"/>
    <cellWatch r="H334"/>
    <cellWatch r="I334"/>
    <cellWatch r="J334"/>
    <cellWatch r="K334"/>
    <cellWatch r="L334"/>
    <cellWatch r="M334"/>
    <cellWatch r="N334"/>
    <cellWatch r="A335"/>
    <cellWatch r="B335"/>
    <cellWatch r="C335"/>
    <cellWatch r="D335"/>
    <cellWatch r="E335"/>
    <cellWatch r="F335"/>
    <cellWatch r="G335"/>
    <cellWatch r="H335"/>
    <cellWatch r="I335"/>
    <cellWatch r="J335"/>
    <cellWatch r="K335"/>
    <cellWatch r="L335"/>
    <cellWatch r="M335"/>
    <cellWatch r="N335"/>
    <cellWatch r="A336"/>
    <cellWatch r="B336"/>
    <cellWatch r="C336"/>
    <cellWatch r="D336"/>
    <cellWatch r="E336"/>
    <cellWatch r="F336"/>
    <cellWatch r="G336"/>
    <cellWatch r="H336"/>
    <cellWatch r="I336"/>
    <cellWatch r="J336"/>
    <cellWatch r="K336"/>
    <cellWatch r="L336"/>
    <cellWatch r="M336"/>
    <cellWatch r="N336"/>
    <cellWatch r="A337"/>
    <cellWatch r="B337"/>
    <cellWatch r="C337"/>
    <cellWatch r="D337"/>
    <cellWatch r="E337"/>
    <cellWatch r="F337"/>
    <cellWatch r="G337"/>
    <cellWatch r="H337"/>
    <cellWatch r="I337"/>
    <cellWatch r="J337"/>
    <cellWatch r="K337"/>
    <cellWatch r="L337"/>
    <cellWatch r="M337"/>
    <cellWatch r="N337"/>
    <cellWatch r="A338"/>
    <cellWatch r="B338"/>
    <cellWatch r="C338"/>
    <cellWatch r="D338"/>
    <cellWatch r="E338"/>
    <cellWatch r="F338"/>
    <cellWatch r="G338"/>
    <cellWatch r="H338"/>
    <cellWatch r="I338"/>
    <cellWatch r="J338"/>
    <cellWatch r="K338"/>
    <cellWatch r="L338"/>
    <cellWatch r="M338"/>
    <cellWatch r="N338"/>
    <cellWatch r="A339"/>
    <cellWatch r="B339"/>
    <cellWatch r="C339"/>
    <cellWatch r="D339"/>
    <cellWatch r="E339"/>
    <cellWatch r="F339"/>
    <cellWatch r="G339"/>
    <cellWatch r="H339"/>
    <cellWatch r="I339"/>
    <cellWatch r="J339"/>
    <cellWatch r="K339"/>
    <cellWatch r="L339"/>
    <cellWatch r="M339"/>
    <cellWatch r="N339"/>
    <cellWatch r="A340"/>
    <cellWatch r="B340"/>
    <cellWatch r="C340"/>
    <cellWatch r="D340"/>
    <cellWatch r="E340"/>
    <cellWatch r="F340"/>
    <cellWatch r="G340"/>
    <cellWatch r="H340"/>
    <cellWatch r="I340"/>
    <cellWatch r="J340"/>
    <cellWatch r="K340"/>
    <cellWatch r="L340"/>
    <cellWatch r="M340"/>
    <cellWatch r="N340"/>
    <cellWatch r="A341"/>
    <cellWatch r="B341"/>
    <cellWatch r="C341"/>
    <cellWatch r="D341"/>
    <cellWatch r="E341"/>
    <cellWatch r="F341"/>
    <cellWatch r="G341"/>
    <cellWatch r="H341"/>
    <cellWatch r="I341"/>
    <cellWatch r="J341"/>
    <cellWatch r="K341"/>
    <cellWatch r="L341"/>
    <cellWatch r="M341"/>
    <cellWatch r="N341"/>
    <cellWatch r="A342"/>
    <cellWatch r="B342"/>
    <cellWatch r="C342"/>
    <cellWatch r="D342"/>
    <cellWatch r="E342"/>
    <cellWatch r="F342"/>
    <cellWatch r="G342"/>
    <cellWatch r="H342"/>
    <cellWatch r="I342"/>
    <cellWatch r="J342"/>
    <cellWatch r="K342"/>
    <cellWatch r="L342"/>
    <cellWatch r="M342"/>
    <cellWatch r="N342"/>
    <cellWatch r="A343"/>
    <cellWatch r="B343"/>
    <cellWatch r="C343"/>
    <cellWatch r="D343"/>
    <cellWatch r="E343"/>
    <cellWatch r="F343"/>
    <cellWatch r="G343"/>
    <cellWatch r="H343"/>
    <cellWatch r="I343"/>
    <cellWatch r="J343"/>
    <cellWatch r="K343"/>
    <cellWatch r="L343"/>
    <cellWatch r="M343"/>
    <cellWatch r="N343"/>
    <cellWatch r="A344"/>
    <cellWatch r="B344"/>
    <cellWatch r="C344"/>
    <cellWatch r="D344"/>
    <cellWatch r="E344"/>
    <cellWatch r="F344"/>
    <cellWatch r="G344"/>
    <cellWatch r="H344"/>
    <cellWatch r="I344"/>
    <cellWatch r="J344"/>
    <cellWatch r="K344"/>
    <cellWatch r="L344"/>
    <cellWatch r="M344"/>
    <cellWatch r="N344"/>
    <cellWatch r="A345"/>
    <cellWatch r="B345"/>
    <cellWatch r="C345"/>
    <cellWatch r="D345"/>
    <cellWatch r="E345"/>
    <cellWatch r="F345"/>
    <cellWatch r="G345"/>
    <cellWatch r="H345"/>
    <cellWatch r="I345"/>
    <cellWatch r="J345"/>
    <cellWatch r="K345"/>
    <cellWatch r="L345"/>
    <cellWatch r="M345"/>
    <cellWatch r="N345"/>
    <cellWatch r="A346"/>
    <cellWatch r="B346"/>
    <cellWatch r="C346"/>
    <cellWatch r="D346"/>
    <cellWatch r="E346"/>
    <cellWatch r="F346"/>
    <cellWatch r="G346"/>
    <cellWatch r="H346"/>
    <cellWatch r="I346"/>
    <cellWatch r="J346"/>
    <cellWatch r="K346"/>
    <cellWatch r="L346"/>
    <cellWatch r="M346"/>
    <cellWatch r="N346"/>
    <cellWatch r="A347"/>
    <cellWatch r="B347"/>
    <cellWatch r="C347"/>
    <cellWatch r="D347"/>
    <cellWatch r="E347"/>
    <cellWatch r="F347"/>
    <cellWatch r="G347"/>
    <cellWatch r="H347"/>
    <cellWatch r="I347"/>
    <cellWatch r="J347"/>
    <cellWatch r="K347"/>
    <cellWatch r="L347"/>
    <cellWatch r="M347"/>
    <cellWatch r="N347"/>
    <cellWatch r="A348"/>
    <cellWatch r="B348"/>
    <cellWatch r="C348"/>
    <cellWatch r="D348"/>
    <cellWatch r="E348"/>
    <cellWatch r="F348"/>
    <cellWatch r="G348"/>
    <cellWatch r="H348"/>
    <cellWatch r="I348"/>
    <cellWatch r="J348"/>
    <cellWatch r="K348"/>
    <cellWatch r="L348"/>
    <cellWatch r="M348"/>
    <cellWatch r="N348"/>
    <cellWatch r="A349"/>
    <cellWatch r="B349"/>
    <cellWatch r="C349"/>
    <cellWatch r="D349"/>
    <cellWatch r="E349"/>
    <cellWatch r="F349"/>
    <cellWatch r="G349"/>
    <cellWatch r="H349"/>
    <cellWatch r="I349"/>
    <cellWatch r="J349"/>
    <cellWatch r="K349"/>
    <cellWatch r="L349"/>
    <cellWatch r="M349"/>
    <cellWatch r="N349"/>
    <cellWatch r="A350"/>
    <cellWatch r="B350"/>
    <cellWatch r="C350"/>
    <cellWatch r="D350"/>
    <cellWatch r="E350"/>
    <cellWatch r="F350"/>
    <cellWatch r="G350"/>
    <cellWatch r="H350"/>
    <cellWatch r="I350"/>
    <cellWatch r="J350"/>
    <cellWatch r="K350"/>
    <cellWatch r="L350"/>
    <cellWatch r="M350"/>
    <cellWatch r="N350"/>
    <cellWatch r="A351"/>
    <cellWatch r="B351"/>
    <cellWatch r="C351"/>
    <cellWatch r="D351"/>
    <cellWatch r="E351"/>
    <cellWatch r="F351"/>
    <cellWatch r="G351"/>
    <cellWatch r="H351"/>
    <cellWatch r="I351"/>
    <cellWatch r="J351"/>
    <cellWatch r="K351"/>
    <cellWatch r="L351"/>
    <cellWatch r="M351"/>
    <cellWatch r="N351"/>
    <cellWatch r="A352"/>
    <cellWatch r="B352"/>
    <cellWatch r="C352"/>
    <cellWatch r="D352"/>
    <cellWatch r="E352"/>
    <cellWatch r="F352"/>
    <cellWatch r="G352"/>
    <cellWatch r="H352"/>
    <cellWatch r="I352"/>
    <cellWatch r="J352"/>
    <cellWatch r="K352"/>
    <cellWatch r="L352"/>
    <cellWatch r="M352"/>
    <cellWatch r="N352"/>
    <cellWatch r="A353"/>
    <cellWatch r="B353"/>
    <cellWatch r="C353"/>
    <cellWatch r="D353"/>
    <cellWatch r="E353"/>
    <cellWatch r="F353"/>
    <cellWatch r="G353"/>
    <cellWatch r="H353"/>
    <cellWatch r="I353"/>
    <cellWatch r="J353"/>
    <cellWatch r="K353"/>
    <cellWatch r="L353"/>
    <cellWatch r="M353"/>
    <cellWatch r="N353"/>
    <cellWatch r="A354"/>
    <cellWatch r="B354"/>
    <cellWatch r="C354"/>
    <cellWatch r="D354"/>
    <cellWatch r="E354"/>
    <cellWatch r="F354"/>
    <cellWatch r="G354"/>
    <cellWatch r="H354"/>
    <cellWatch r="I354"/>
    <cellWatch r="J354"/>
    <cellWatch r="K354"/>
    <cellWatch r="L354"/>
    <cellWatch r="M354"/>
    <cellWatch r="N354"/>
    <cellWatch r="A355"/>
    <cellWatch r="B355"/>
    <cellWatch r="C355"/>
    <cellWatch r="D355"/>
    <cellWatch r="E355"/>
    <cellWatch r="F355"/>
    <cellWatch r="G355"/>
    <cellWatch r="H355"/>
    <cellWatch r="I355"/>
    <cellWatch r="J355"/>
    <cellWatch r="K355"/>
    <cellWatch r="L355"/>
    <cellWatch r="M355"/>
    <cellWatch r="N355"/>
    <cellWatch r="A356"/>
    <cellWatch r="B356"/>
    <cellWatch r="C356"/>
    <cellWatch r="D356"/>
    <cellWatch r="E356"/>
    <cellWatch r="F356"/>
    <cellWatch r="G356"/>
    <cellWatch r="H356"/>
    <cellWatch r="I356"/>
    <cellWatch r="J356"/>
    <cellWatch r="K356"/>
    <cellWatch r="L356"/>
    <cellWatch r="M356"/>
    <cellWatch r="N356"/>
    <cellWatch r="A357"/>
    <cellWatch r="B357"/>
    <cellWatch r="C357"/>
    <cellWatch r="D357"/>
    <cellWatch r="E357"/>
    <cellWatch r="F357"/>
    <cellWatch r="G357"/>
    <cellWatch r="H357"/>
    <cellWatch r="I357"/>
    <cellWatch r="J357"/>
    <cellWatch r="K357"/>
    <cellWatch r="L357"/>
    <cellWatch r="M357"/>
    <cellWatch r="N357"/>
    <cellWatch r="A358"/>
    <cellWatch r="B358"/>
    <cellWatch r="C358"/>
    <cellWatch r="D358"/>
    <cellWatch r="E358"/>
    <cellWatch r="F358"/>
    <cellWatch r="G358"/>
    <cellWatch r="H358"/>
    <cellWatch r="I358"/>
    <cellWatch r="J358"/>
    <cellWatch r="K358"/>
    <cellWatch r="L358"/>
    <cellWatch r="M358"/>
    <cellWatch r="N358"/>
    <cellWatch r="A359"/>
    <cellWatch r="B359"/>
    <cellWatch r="C359"/>
    <cellWatch r="D359"/>
    <cellWatch r="E359"/>
    <cellWatch r="F359"/>
    <cellWatch r="G359"/>
    <cellWatch r="H359"/>
    <cellWatch r="I359"/>
    <cellWatch r="J359"/>
    <cellWatch r="K359"/>
    <cellWatch r="L359"/>
    <cellWatch r="M359"/>
    <cellWatch r="N359"/>
    <cellWatch r="A360"/>
    <cellWatch r="B360"/>
    <cellWatch r="C360"/>
    <cellWatch r="D360"/>
    <cellWatch r="E360"/>
    <cellWatch r="F360"/>
    <cellWatch r="G360"/>
    <cellWatch r="H360"/>
    <cellWatch r="I360"/>
    <cellWatch r="J360"/>
    <cellWatch r="K360"/>
    <cellWatch r="L360"/>
    <cellWatch r="M360"/>
    <cellWatch r="N360"/>
    <cellWatch r="A361"/>
    <cellWatch r="B361"/>
    <cellWatch r="C361"/>
    <cellWatch r="D361"/>
    <cellWatch r="E361"/>
    <cellWatch r="F361"/>
    <cellWatch r="G361"/>
    <cellWatch r="H361"/>
    <cellWatch r="I361"/>
    <cellWatch r="J361"/>
    <cellWatch r="K361"/>
    <cellWatch r="L361"/>
    <cellWatch r="M361"/>
    <cellWatch r="N361"/>
    <cellWatch r="A362"/>
    <cellWatch r="B362"/>
    <cellWatch r="C362"/>
    <cellWatch r="D362"/>
    <cellWatch r="E362"/>
    <cellWatch r="F362"/>
    <cellWatch r="G362"/>
    <cellWatch r="H362"/>
    <cellWatch r="I362"/>
    <cellWatch r="J362"/>
    <cellWatch r="K362"/>
    <cellWatch r="L362"/>
    <cellWatch r="M362"/>
    <cellWatch r="N362"/>
    <cellWatch r="A363"/>
    <cellWatch r="B363"/>
    <cellWatch r="C363"/>
    <cellWatch r="D363"/>
    <cellWatch r="E363"/>
    <cellWatch r="F363"/>
    <cellWatch r="G363"/>
    <cellWatch r="H363"/>
    <cellWatch r="I363"/>
    <cellWatch r="J363"/>
    <cellWatch r="K363"/>
    <cellWatch r="L363"/>
    <cellWatch r="M363"/>
    <cellWatch r="N363"/>
    <cellWatch r="A364"/>
    <cellWatch r="B364"/>
    <cellWatch r="C364"/>
    <cellWatch r="D364"/>
    <cellWatch r="E364"/>
    <cellWatch r="F364"/>
    <cellWatch r="G364"/>
    <cellWatch r="H364"/>
    <cellWatch r="I364"/>
    <cellWatch r="J364"/>
    <cellWatch r="K364"/>
    <cellWatch r="L364"/>
    <cellWatch r="M364"/>
    <cellWatch r="N364"/>
    <cellWatch r="A365"/>
    <cellWatch r="B365"/>
    <cellWatch r="C365"/>
    <cellWatch r="D365"/>
    <cellWatch r="E365"/>
    <cellWatch r="F365"/>
    <cellWatch r="G365"/>
    <cellWatch r="H365"/>
    <cellWatch r="I365"/>
    <cellWatch r="J365"/>
    <cellWatch r="K365"/>
    <cellWatch r="L365"/>
    <cellWatch r="M365"/>
    <cellWatch r="N365"/>
    <cellWatch r="A366"/>
    <cellWatch r="B366"/>
    <cellWatch r="C366"/>
    <cellWatch r="D366"/>
    <cellWatch r="E366"/>
    <cellWatch r="F366"/>
    <cellWatch r="G366"/>
    <cellWatch r="H366"/>
    <cellWatch r="I366"/>
    <cellWatch r="J366"/>
    <cellWatch r="K366"/>
    <cellWatch r="L366"/>
    <cellWatch r="M366"/>
    <cellWatch r="N366"/>
    <cellWatch r="A367"/>
    <cellWatch r="B367"/>
    <cellWatch r="C367"/>
    <cellWatch r="D367"/>
    <cellWatch r="E367"/>
    <cellWatch r="F367"/>
    <cellWatch r="G367"/>
    <cellWatch r="H367"/>
    <cellWatch r="I367"/>
    <cellWatch r="J367"/>
    <cellWatch r="K367"/>
    <cellWatch r="L367"/>
    <cellWatch r="M367"/>
    <cellWatch r="N367"/>
    <cellWatch r="A368"/>
    <cellWatch r="B368"/>
    <cellWatch r="C368"/>
    <cellWatch r="D368"/>
    <cellWatch r="E368"/>
    <cellWatch r="F368"/>
    <cellWatch r="G368"/>
    <cellWatch r="H368"/>
    <cellWatch r="I368"/>
    <cellWatch r="J368"/>
    <cellWatch r="K368"/>
    <cellWatch r="L368"/>
    <cellWatch r="M368"/>
    <cellWatch r="N368"/>
    <cellWatch r="A369"/>
    <cellWatch r="B369"/>
    <cellWatch r="C369"/>
    <cellWatch r="D369"/>
    <cellWatch r="E369"/>
    <cellWatch r="F369"/>
    <cellWatch r="G369"/>
    <cellWatch r="H369"/>
    <cellWatch r="I369"/>
    <cellWatch r="J369"/>
    <cellWatch r="K369"/>
    <cellWatch r="L369"/>
    <cellWatch r="M369"/>
    <cellWatch r="N369"/>
    <cellWatch r="A370"/>
    <cellWatch r="B370"/>
    <cellWatch r="C370"/>
    <cellWatch r="D370"/>
    <cellWatch r="E370"/>
    <cellWatch r="F370"/>
    <cellWatch r="G370"/>
    <cellWatch r="H370"/>
    <cellWatch r="I370"/>
    <cellWatch r="J370"/>
    <cellWatch r="K370"/>
    <cellWatch r="L370"/>
    <cellWatch r="M370"/>
    <cellWatch r="N370"/>
    <cellWatch r="A371"/>
    <cellWatch r="B371"/>
    <cellWatch r="C371"/>
    <cellWatch r="D371"/>
    <cellWatch r="E371"/>
    <cellWatch r="F371"/>
    <cellWatch r="G371"/>
    <cellWatch r="H371"/>
    <cellWatch r="I371"/>
    <cellWatch r="J371"/>
    <cellWatch r="K371"/>
    <cellWatch r="L371"/>
    <cellWatch r="M371"/>
    <cellWatch r="N371"/>
    <cellWatch r="A372"/>
    <cellWatch r="B372"/>
    <cellWatch r="C372"/>
    <cellWatch r="D372"/>
    <cellWatch r="E372"/>
    <cellWatch r="F372"/>
    <cellWatch r="G372"/>
    <cellWatch r="H372"/>
    <cellWatch r="I372"/>
    <cellWatch r="J372"/>
    <cellWatch r="K372"/>
    <cellWatch r="L372"/>
    <cellWatch r="M372"/>
    <cellWatch r="N372"/>
    <cellWatch r="A373"/>
    <cellWatch r="B373"/>
    <cellWatch r="C373"/>
    <cellWatch r="D373"/>
    <cellWatch r="E373"/>
    <cellWatch r="F373"/>
    <cellWatch r="G373"/>
    <cellWatch r="H373"/>
    <cellWatch r="I373"/>
    <cellWatch r="J373"/>
    <cellWatch r="K373"/>
    <cellWatch r="L373"/>
    <cellWatch r="M373"/>
    <cellWatch r="N373"/>
    <cellWatch r="A374"/>
    <cellWatch r="B374"/>
    <cellWatch r="C374"/>
    <cellWatch r="D374"/>
    <cellWatch r="E374"/>
    <cellWatch r="F374"/>
    <cellWatch r="G374"/>
    <cellWatch r="H374"/>
    <cellWatch r="I374"/>
    <cellWatch r="J374"/>
    <cellWatch r="K374"/>
    <cellWatch r="L374"/>
    <cellWatch r="M374"/>
    <cellWatch r="N374"/>
    <cellWatch r="A375"/>
    <cellWatch r="B375"/>
    <cellWatch r="C375"/>
    <cellWatch r="D375"/>
    <cellWatch r="E375"/>
    <cellWatch r="F375"/>
    <cellWatch r="G375"/>
    <cellWatch r="H375"/>
    <cellWatch r="I375"/>
    <cellWatch r="J375"/>
    <cellWatch r="K375"/>
    <cellWatch r="L375"/>
    <cellWatch r="M375"/>
    <cellWatch r="N375"/>
    <cellWatch r="A376"/>
    <cellWatch r="B376"/>
    <cellWatch r="C376"/>
    <cellWatch r="D376"/>
    <cellWatch r="E376"/>
    <cellWatch r="F376"/>
    <cellWatch r="G376"/>
    <cellWatch r="H376"/>
    <cellWatch r="I376"/>
    <cellWatch r="J376"/>
    <cellWatch r="K376"/>
    <cellWatch r="L376"/>
    <cellWatch r="M376"/>
    <cellWatch r="N376"/>
    <cellWatch r="A377"/>
    <cellWatch r="B377"/>
    <cellWatch r="C377"/>
    <cellWatch r="D377"/>
    <cellWatch r="E377"/>
    <cellWatch r="F377"/>
    <cellWatch r="G377"/>
    <cellWatch r="H377"/>
    <cellWatch r="I377"/>
    <cellWatch r="J377"/>
    <cellWatch r="K377"/>
    <cellWatch r="L377"/>
    <cellWatch r="M377"/>
    <cellWatch r="N377"/>
    <cellWatch r="A378"/>
    <cellWatch r="B378"/>
    <cellWatch r="C378"/>
    <cellWatch r="D378"/>
    <cellWatch r="E378"/>
    <cellWatch r="F378"/>
    <cellWatch r="G378"/>
    <cellWatch r="H378"/>
    <cellWatch r="I378"/>
    <cellWatch r="J378"/>
    <cellWatch r="K378"/>
    <cellWatch r="L378"/>
    <cellWatch r="M378"/>
    <cellWatch r="N378"/>
    <cellWatch r="A379"/>
    <cellWatch r="B379"/>
    <cellWatch r="C379"/>
    <cellWatch r="D379"/>
    <cellWatch r="E379"/>
    <cellWatch r="F379"/>
    <cellWatch r="G379"/>
    <cellWatch r="H379"/>
    <cellWatch r="I379"/>
    <cellWatch r="J379"/>
    <cellWatch r="K379"/>
    <cellWatch r="L379"/>
    <cellWatch r="M379"/>
    <cellWatch r="N379"/>
    <cellWatch r="A380"/>
    <cellWatch r="B380"/>
    <cellWatch r="C380"/>
    <cellWatch r="D380"/>
    <cellWatch r="E380"/>
    <cellWatch r="F380"/>
    <cellWatch r="G380"/>
    <cellWatch r="H380"/>
    <cellWatch r="I380"/>
    <cellWatch r="J380"/>
    <cellWatch r="K380"/>
    <cellWatch r="L380"/>
    <cellWatch r="M380"/>
    <cellWatch r="N380"/>
    <cellWatch r="A381"/>
    <cellWatch r="B381"/>
    <cellWatch r="C381"/>
    <cellWatch r="D381"/>
    <cellWatch r="E381"/>
    <cellWatch r="F381"/>
    <cellWatch r="G381"/>
    <cellWatch r="H381"/>
    <cellWatch r="I381"/>
    <cellWatch r="J381"/>
    <cellWatch r="K381"/>
    <cellWatch r="L381"/>
    <cellWatch r="M381"/>
    <cellWatch r="N381"/>
    <cellWatch r="A382"/>
    <cellWatch r="B382"/>
    <cellWatch r="C382"/>
    <cellWatch r="D382"/>
    <cellWatch r="E382"/>
    <cellWatch r="F382"/>
    <cellWatch r="G382"/>
    <cellWatch r="H382"/>
    <cellWatch r="I382"/>
    <cellWatch r="J382"/>
    <cellWatch r="K382"/>
    <cellWatch r="L382"/>
    <cellWatch r="M382"/>
    <cellWatch r="N382"/>
    <cellWatch r="A383"/>
    <cellWatch r="B383"/>
    <cellWatch r="C383"/>
    <cellWatch r="D383"/>
    <cellWatch r="E383"/>
    <cellWatch r="F383"/>
    <cellWatch r="G383"/>
    <cellWatch r="H383"/>
    <cellWatch r="I383"/>
    <cellWatch r="J383"/>
    <cellWatch r="K383"/>
    <cellWatch r="L383"/>
    <cellWatch r="M383"/>
    <cellWatch r="N383"/>
    <cellWatch r="A384"/>
    <cellWatch r="B384"/>
    <cellWatch r="C384"/>
    <cellWatch r="D384"/>
    <cellWatch r="E384"/>
    <cellWatch r="F384"/>
    <cellWatch r="G384"/>
    <cellWatch r="H384"/>
    <cellWatch r="I384"/>
    <cellWatch r="J384"/>
    <cellWatch r="K384"/>
    <cellWatch r="L384"/>
    <cellWatch r="M384"/>
    <cellWatch r="N384"/>
    <cellWatch r="A385"/>
    <cellWatch r="B385"/>
    <cellWatch r="C385"/>
    <cellWatch r="D385"/>
    <cellWatch r="E385"/>
    <cellWatch r="F385"/>
    <cellWatch r="G385"/>
    <cellWatch r="H385"/>
    <cellWatch r="I385"/>
    <cellWatch r="J385"/>
    <cellWatch r="K385"/>
    <cellWatch r="L385"/>
    <cellWatch r="M385"/>
    <cellWatch r="N385"/>
    <cellWatch r="A386"/>
    <cellWatch r="B386"/>
    <cellWatch r="C386"/>
    <cellWatch r="D386"/>
    <cellWatch r="E386"/>
    <cellWatch r="F386"/>
    <cellWatch r="G386"/>
    <cellWatch r="H386"/>
    <cellWatch r="I386"/>
    <cellWatch r="J386"/>
    <cellWatch r="K386"/>
    <cellWatch r="L386"/>
    <cellWatch r="M386"/>
    <cellWatch r="N386"/>
    <cellWatch r="A387"/>
    <cellWatch r="B387"/>
    <cellWatch r="C387"/>
    <cellWatch r="D387"/>
    <cellWatch r="E387"/>
    <cellWatch r="F387"/>
    <cellWatch r="G387"/>
    <cellWatch r="H387"/>
    <cellWatch r="I387"/>
    <cellWatch r="J387"/>
    <cellWatch r="K387"/>
    <cellWatch r="L387"/>
    <cellWatch r="M387"/>
    <cellWatch r="N387"/>
    <cellWatch r="A388"/>
    <cellWatch r="B388"/>
    <cellWatch r="C388"/>
    <cellWatch r="D388"/>
    <cellWatch r="E388"/>
    <cellWatch r="F388"/>
    <cellWatch r="G388"/>
    <cellWatch r="H388"/>
    <cellWatch r="I388"/>
    <cellWatch r="J388"/>
    <cellWatch r="K388"/>
    <cellWatch r="L388"/>
    <cellWatch r="M388"/>
    <cellWatch r="N388"/>
    <cellWatch r="A389"/>
    <cellWatch r="B389"/>
    <cellWatch r="C389"/>
    <cellWatch r="D389"/>
    <cellWatch r="E389"/>
    <cellWatch r="F389"/>
    <cellWatch r="G389"/>
    <cellWatch r="H389"/>
    <cellWatch r="I389"/>
    <cellWatch r="J389"/>
    <cellWatch r="K389"/>
    <cellWatch r="L389"/>
    <cellWatch r="M389"/>
    <cellWatch r="N389"/>
    <cellWatch r="A390"/>
    <cellWatch r="B390"/>
    <cellWatch r="C390"/>
    <cellWatch r="D390"/>
    <cellWatch r="E390"/>
    <cellWatch r="F390"/>
    <cellWatch r="G390"/>
    <cellWatch r="H390"/>
    <cellWatch r="I390"/>
    <cellWatch r="J390"/>
    <cellWatch r="K390"/>
    <cellWatch r="L390"/>
    <cellWatch r="M390"/>
    <cellWatch r="N390"/>
    <cellWatch r="A391"/>
    <cellWatch r="B391"/>
    <cellWatch r="C391"/>
    <cellWatch r="D391"/>
    <cellWatch r="E391"/>
    <cellWatch r="F391"/>
    <cellWatch r="G391"/>
    <cellWatch r="H391"/>
    <cellWatch r="I391"/>
    <cellWatch r="J391"/>
    <cellWatch r="K391"/>
    <cellWatch r="L391"/>
    <cellWatch r="M391"/>
    <cellWatch r="N391"/>
    <cellWatch r="A392"/>
    <cellWatch r="B392"/>
    <cellWatch r="C392"/>
    <cellWatch r="D392"/>
    <cellWatch r="E392"/>
    <cellWatch r="F392"/>
    <cellWatch r="G392"/>
    <cellWatch r="H392"/>
    <cellWatch r="I392"/>
    <cellWatch r="J392"/>
    <cellWatch r="K392"/>
    <cellWatch r="L392"/>
    <cellWatch r="M392"/>
    <cellWatch r="N392"/>
    <cellWatch r="A393"/>
    <cellWatch r="B393"/>
    <cellWatch r="C393"/>
    <cellWatch r="D393"/>
    <cellWatch r="E393"/>
    <cellWatch r="F393"/>
    <cellWatch r="G393"/>
    <cellWatch r="H393"/>
    <cellWatch r="I393"/>
    <cellWatch r="J393"/>
    <cellWatch r="K393"/>
    <cellWatch r="L393"/>
    <cellWatch r="M393"/>
    <cellWatch r="N393"/>
    <cellWatch r="A394"/>
    <cellWatch r="B394"/>
    <cellWatch r="C394"/>
    <cellWatch r="D394"/>
    <cellWatch r="E394"/>
    <cellWatch r="F394"/>
    <cellWatch r="G394"/>
    <cellWatch r="H394"/>
    <cellWatch r="I394"/>
    <cellWatch r="J394"/>
    <cellWatch r="K394"/>
    <cellWatch r="L394"/>
    <cellWatch r="M394"/>
    <cellWatch r="N394"/>
    <cellWatch r="A395"/>
    <cellWatch r="B395"/>
    <cellWatch r="C395"/>
    <cellWatch r="D395"/>
    <cellWatch r="E395"/>
    <cellWatch r="F395"/>
    <cellWatch r="G395"/>
    <cellWatch r="H395"/>
    <cellWatch r="I395"/>
    <cellWatch r="J395"/>
    <cellWatch r="K395"/>
    <cellWatch r="L395"/>
    <cellWatch r="M395"/>
    <cellWatch r="N395"/>
    <cellWatch r="A396"/>
    <cellWatch r="B396"/>
    <cellWatch r="C396"/>
    <cellWatch r="D396"/>
    <cellWatch r="E396"/>
    <cellWatch r="F396"/>
    <cellWatch r="G396"/>
    <cellWatch r="H396"/>
    <cellWatch r="I396"/>
    <cellWatch r="J396"/>
    <cellWatch r="K396"/>
    <cellWatch r="L396"/>
    <cellWatch r="M396"/>
    <cellWatch r="N396"/>
    <cellWatch r="A397"/>
    <cellWatch r="B397"/>
    <cellWatch r="C397"/>
    <cellWatch r="D397"/>
    <cellWatch r="E397"/>
    <cellWatch r="F397"/>
    <cellWatch r="G397"/>
    <cellWatch r="H397"/>
    <cellWatch r="I397"/>
    <cellWatch r="J397"/>
    <cellWatch r="K397"/>
    <cellWatch r="L397"/>
    <cellWatch r="M397"/>
    <cellWatch r="N397"/>
    <cellWatch r="A398"/>
    <cellWatch r="B398"/>
    <cellWatch r="C398"/>
    <cellWatch r="D398"/>
    <cellWatch r="E398"/>
    <cellWatch r="F398"/>
    <cellWatch r="G398"/>
    <cellWatch r="H398"/>
    <cellWatch r="I398"/>
    <cellWatch r="J398"/>
    <cellWatch r="K398"/>
    <cellWatch r="L398"/>
    <cellWatch r="M398"/>
    <cellWatch r="N398"/>
    <cellWatch r="A399"/>
    <cellWatch r="B399"/>
    <cellWatch r="C399"/>
    <cellWatch r="D399"/>
    <cellWatch r="E399"/>
    <cellWatch r="F399"/>
    <cellWatch r="G399"/>
    <cellWatch r="H399"/>
    <cellWatch r="I399"/>
    <cellWatch r="J399"/>
    <cellWatch r="K399"/>
    <cellWatch r="L399"/>
    <cellWatch r="M399"/>
    <cellWatch r="N399"/>
    <cellWatch r="A400"/>
    <cellWatch r="B400"/>
    <cellWatch r="C400"/>
    <cellWatch r="D400"/>
    <cellWatch r="E400"/>
    <cellWatch r="F400"/>
    <cellWatch r="G400"/>
    <cellWatch r="H400"/>
    <cellWatch r="I400"/>
    <cellWatch r="J400"/>
    <cellWatch r="K400"/>
    <cellWatch r="L400"/>
    <cellWatch r="M400"/>
    <cellWatch r="N400"/>
    <cellWatch r="A401"/>
    <cellWatch r="B401"/>
    <cellWatch r="C401"/>
    <cellWatch r="D401"/>
    <cellWatch r="E401"/>
    <cellWatch r="F401"/>
    <cellWatch r="G401"/>
    <cellWatch r="H401"/>
    <cellWatch r="I401"/>
    <cellWatch r="J401"/>
    <cellWatch r="K401"/>
    <cellWatch r="L401"/>
    <cellWatch r="M401"/>
    <cellWatch r="N401"/>
    <cellWatch r="A402"/>
    <cellWatch r="B402"/>
    <cellWatch r="C402"/>
    <cellWatch r="D402"/>
    <cellWatch r="E402"/>
    <cellWatch r="F402"/>
    <cellWatch r="G402"/>
    <cellWatch r="H402"/>
    <cellWatch r="I402"/>
    <cellWatch r="J402"/>
    <cellWatch r="K402"/>
    <cellWatch r="L402"/>
    <cellWatch r="M402"/>
    <cellWatch r="N402"/>
    <cellWatch r="A403"/>
    <cellWatch r="B403"/>
    <cellWatch r="C403"/>
    <cellWatch r="D403"/>
    <cellWatch r="E403"/>
    <cellWatch r="F403"/>
    <cellWatch r="G403"/>
    <cellWatch r="H403"/>
    <cellWatch r="I403"/>
    <cellWatch r="J403"/>
    <cellWatch r="K403"/>
    <cellWatch r="L403"/>
    <cellWatch r="M403"/>
    <cellWatch r="N403"/>
    <cellWatch r="A404"/>
    <cellWatch r="B404"/>
    <cellWatch r="C404"/>
    <cellWatch r="D404"/>
    <cellWatch r="E404"/>
    <cellWatch r="F404"/>
    <cellWatch r="G404"/>
    <cellWatch r="H404"/>
    <cellWatch r="I404"/>
    <cellWatch r="J404"/>
    <cellWatch r="K404"/>
    <cellWatch r="L404"/>
    <cellWatch r="M404"/>
    <cellWatch r="N404"/>
    <cellWatch r="A405"/>
    <cellWatch r="B405"/>
    <cellWatch r="C405"/>
    <cellWatch r="D405"/>
    <cellWatch r="E405"/>
    <cellWatch r="F405"/>
    <cellWatch r="G405"/>
    <cellWatch r="H405"/>
    <cellWatch r="I405"/>
    <cellWatch r="J405"/>
    <cellWatch r="K405"/>
    <cellWatch r="L405"/>
    <cellWatch r="M405"/>
    <cellWatch r="N405"/>
    <cellWatch r="A406"/>
    <cellWatch r="B406"/>
    <cellWatch r="C406"/>
    <cellWatch r="D406"/>
    <cellWatch r="E406"/>
    <cellWatch r="F406"/>
    <cellWatch r="G406"/>
    <cellWatch r="H406"/>
    <cellWatch r="I406"/>
    <cellWatch r="J406"/>
    <cellWatch r="K406"/>
    <cellWatch r="L406"/>
    <cellWatch r="M406"/>
    <cellWatch r="N406"/>
    <cellWatch r="A407"/>
    <cellWatch r="B407"/>
    <cellWatch r="C407"/>
    <cellWatch r="D407"/>
    <cellWatch r="E407"/>
    <cellWatch r="F407"/>
    <cellWatch r="G407"/>
    <cellWatch r="H407"/>
    <cellWatch r="I407"/>
    <cellWatch r="J407"/>
    <cellWatch r="K407"/>
    <cellWatch r="L407"/>
    <cellWatch r="M407"/>
    <cellWatch r="N407"/>
    <cellWatch r="A408"/>
    <cellWatch r="B408"/>
    <cellWatch r="C408"/>
    <cellWatch r="D408"/>
    <cellWatch r="E408"/>
    <cellWatch r="F408"/>
    <cellWatch r="G408"/>
    <cellWatch r="H408"/>
    <cellWatch r="I408"/>
    <cellWatch r="J408"/>
    <cellWatch r="K408"/>
    <cellWatch r="L408"/>
    <cellWatch r="M408"/>
    <cellWatch r="N408"/>
    <cellWatch r="A409"/>
    <cellWatch r="B409"/>
    <cellWatch r="C409"/>
    <cellWatch r="D409"/>
    <cellWatch r="E409"/>
    <cellWatch r="F409"/>
    <cellWatch r="G409"/>
    <cellWatch r="H409"/>
    <cellWatch r="I409"/>
    <cellWatch r="J409"/>
    <cellWatch r="K409"/>
    <cellWatch r="L409"/>
    <cellWatch r="M409"/>
    <cellWatch r="N409"/>
    <cellWatch r="A410"/>
    <cellWatch r="B410"/>
    <cellWatch r="C410"/>
    <cellWatch r="D410"/>
    <cellWatch r="E410"/>
    <cellWatch r="F410"/>
    <cellWatch r="G410"/>
    <cellWatch r="H410"/>
    <cellWatch r="I410"/>
    <cellWatch r="J410"/>
    <cellWatch r="K410"/>
    <cellWatch r="L410"/>
    <cellWatch r="M410"/>
    <cellWatch r="N410"/>
    <cellWatch r="A411"/>
    <cellWatch r="B411"/>
    <cellWatch r="C411"/>
    <cellWatch r="D411"/>
    <cellWatch r="E411"/>
    <cellWatch r="F411"/>
    <cellWatch r="G411"/>
    <cellWatch r="H411"/>
    <cellWatch r="I411"/>
    <cellWatch r="J411"/>
    <cellWatch r="K411"/>
    <cellWatch r="L411"/>
    <cellWatch r="M411"/>
    <cellWatch r="N411"/>
    <cellWatch r="A412"/>
    <cellWatch r="B412"/>
    <cellWatch r="C412"/>
    <cellWatch r="D412"/>
    <cellWatch r="E412"/>
    <cellWatch r="F412"/>
    <cellWatch r="G412"/>
    <cellWatch r="H412"/>
    <cellWatch r="I412"/>
    <cellWatch r="J412"/>
    <cellWatch r="K412"/>
    <cellWatch r="L412"/>
    <cellWatch r="M412"/>
    <cellWatch r="N412"/>
    <cellWatch r="A413"/>
    <cellWatch r="B413"/>
    <cellWatch r="C413"/>
    <cellWatch r="D413"/>
    <cellWatch r="E413"/>
    <cellWatch r="F413"/>
    <cellWatch r="G413"/>
    <cellWatch r="H413"/>
    <cellWatch r="I413"/>
    <cellWatch r="J413"/>
    <cellWatch r="K413"/>
    <cellWatch r="L413"/>
    <cellWatch r="M413"/>
    <cellWatch r="N413"/>
    <cellWatch r="A414"/>
    <cellWatch r="B414"/>
    <cellWatch r="C414"/>
    <cellWatch r="D414"/>
    <cellWatch r="E414"/>
    <cellWatch r="F414"/>
    <cellWatch r="G414"/>
    <cellWatch r="H414"/>
    <cellWatch r="I414"/>
    <cellWatch r="J414"/>
    <cellWatch r="K414"/>
    <cellWatch r="L414"/>
    <cellWatch r="M414"/>
    <cellWatch r="N414"/>
    <cellWatch r="A415"/>
    <cellWatch r="B415"/>
    <cellWatch r="C415"/>
    <cellWatch r="D415"/>
    <cellWatch r="E415"/>
    <cellWatch r="F415"/>
    <cellWatch r="G415"/>
    <cellWatch r="H415"/>
    <cellWatch r="I415"/>
    <cellWatch r="J415"/>
    <cellWatch r="K415"/>
    <cellWatch r="L415"/>
    <cellWatch r="M415"/>
    <cellWatch r="N415"/>
    <cellWatch r="A416"/>
    <cellWatch r="B416"/>
    <cellWatch r="C416"/>
    <cellWatch r="D416"/>
    <cellWatch r="E416"/>
    <cellWatch r="F416"/>
    <cellWatch r="G416"/>
    <cellWatch r="H416"/>
    <cellWatch r="I416"/>
    <cellWatch r="J416"/>
    <cellWatch r="K416"/>
    <cellWatch r="L416"/>
    <cellWatch r="M416"/>
    <cellWatch r="N416"/>
    <cellWatch r="A417"/>
    <cellWatch r="B417"/>
    <cellWatch r="C417"/>
    <cellWatch r="D417"/>
    <cellWatch r="E417"/>
    <cellWatch r="F417"/>
    <cellWatch r="G417"/>
    <cellWatch r="H417"/>
    <cellWatch r="I417"/>
    <cellWatch r="J417"/>
    <cellWatch r="K417"/>
    <cellWatch r="L417"/>
    <cellWatch r="M417"/>
    <cellWatch r="N417"/>
    <cellWatch r="A418"/>
    <cellWatch r="B418"/>
    <cellWatch r="C418"/>
    <cellWatch r="D418"/>
    <cellWatch r="E418"/>
    <cellWatch r="F418"/>
    <cellWatch r="G418"/>
    <cellWatch r="H418"/>
    <cellWatch r="I418"/>
    <cellWatch r="J418"/>
    <cellWatch r="K418"/>
    <cellWatch r="L418"/>
    <cellWatch r="M418"/>
    <cellWatch r="N418"/>
    <cellWatch r="A419"/>
    <cellWatch r="B419"/>
    <cellWatch r="C419"/>
    <cellWatch r="D419"/>
    <cellWatch r="E419"/>
    <cellWatch r="F419"/>
    <cellWatch r="G419"/>
    <cellWatch r="H419"/>
    <cellWatch r="I419"/>
    <cellWatch r="J419"/>
    <cellWatch r="K419"/>
    <cellWatch r="L419"/>
    <cellWatch r="M419"/>
    <cellWatch r="N419"/>
    <cellWatch r="A420"/>
    <cellWatch r="B420"/>
    <cellWatch r="C420"/>
    <cellWatch r="D420"/>
    <cellWatch r="E420"/>
    <cellWatch r="F420"/>
    <cellWatch r="G420"/>
    <cellWatch r="H420"/>
    <cellWatch r="I420"/>
    <cellWatch r="J420"/>
    <cellWatch r="K420"/>
    <cellWatch r="L420"/>
    <cellWatch r="M420"/>
    <cellWatch r="N420"/>
    <cellWatch r="A421"/>
    <cellWatch r="B421"/>
    <cellWatch r="C421"/>
    <cellWatch r="D421"/>
    <cellWatch r="E421"/>
    <cellWatch r="F421"/>
    <cellWatch r="G421"/>
    <cellWatch r="H421"/>
    <cellWatch r="I421"/>
    <cellWatch r="J421"/>
    <cellWatch r="K421"/>
    <cellWatch r="L421"/>
    <cellWatch r="M421"/>
    <cellWatch r="N421"/>
    <cellWatch r="A422"/>
    <cellWatch r="B422"/>
    <cellWatch r="C422"/>
    <cellWatch r="D422"/>
    <cellWatch r="E422"/>
    <cellWatch r="F422"/>
    <cellWatch r="G422"/>
    <cellWatch r="H422"/>
    <cellWatch r="I422"/>
    <cellWatch r="J422"/>
    <cellWatch r="K422"/>
    <cellWatch r="L422"/>
    <cellWatch r="M422"/>
    <cellWatch r="N422"/>
    <cellWatch r="A423"/>
    <cellWatch r="B423"/>
    <cellWatch r="C423"/>
    <cellWatch r="D423"/>
    <cellWatch r="E423"/>
    <cellWatch r="F423"/>
    <cellWatch r="G423"/>
    <cellWatch r="H423"/>
    <cellWatch r="I423"/>
    <cellWatch r="J423"/>
    <cellWatch r="K423"/>
    <cellWatch r="L423"/>
    <cellWatch r="M423"/>
    <cellWatch r="N423"/>
    <cellWatch r="A424"/>
    <cellWatch r="B424"/>
    <cellWatch r="C424"/>
    <cellWatch r="D424"/>
    <cellWatch r="E424"/>
    <cellWatch r="F424"/>
    <cellWatch r="G424"/>
    <cellWatch r="H424"/>
    <cellWatch r="I424"/>
    <cellWatch r="J424"/>
    <cellWatch r="K424"/>
    <cellWatch r="L424"/>
    <cellWatch r="M424"/>
    <cellWatch r="N424"/>
    <cellWatch r="A425"/>
    <cellWatch r="B425"/>
    <cellWatch r="C425"/>
    <cellWatch r="D425"/>
    <cellWatch r="E425"/>
    <cellWatch r="F425"/>
    <cellWatch r="G425"/>
    <cellWatch r="H425"/>
    <cellWatch r="I425"/>
    <cellWatch r="J425"/>
    <cellWatch r="K425"/>
    <cellWatch r="L425"/>
    <cellWatch r="M425"/>
    <cellWatch r="N425"/>
    <cellWatch r="A426"/>
    <cellWatch r="B426"/>
    <cellWatch r="C426"/>
    <cellWatch r="D426"/>
    <cellWatch r="E426"/>
    <cellWatch r="F426"/>
    <cellWatch r="G426"/>
    <cellWatch r="H426"/>
    <cellWatch r="I426"/>
    <cellWatch r="J426"/>
    <cellWatch r="K426"/>
    <cellWatch r="L426"/>
    <cellWatch r="M426"/>
    <cellWatch r="N426"/>
    <cellWatch r="A427"/>
    <cellWatch r="B427"/>
    <cellWatch r="C427"/>
    <cellWatch r="D427"/>
    <cellWatch r="E427"/>
    <cellWatch r="F427"/>
    <cellWatch r="G427"/>
    <cellWatch r="H427"/>
    <cellWatch r="I427"/>
    <cellWatch r="J427"/>
    <cellWatch r="K427"/>
    <cellWatch r="L427"/>
    <cellWatch r="M427"/>
    <cellWatch r="N427"/>
    <cellWatch r="A428"/>
    <cellWatch r="B428"/>
    <cellWatch r="C428"/>
    <cellWatch r="D428"/>
    <cellWatch r="E428"/>
    <cellWatch r="F428"/>
    <cellWatch r="G428"/>
    <cellWatch r="H428"/>
    <cellWatch r="I428"/>
    <cellWatch r="J428"/>
    <cellWatch r="K428"/>
    <cellWatch r="L428"/>
    <cellWatch r="M428"/>
    <cellWatch r="N428"/>
    <cellWatch r="A429"/>
    <cellWatch r="B429"/>
    <cellWatch r="C429"/>
    <cellWatch r="D429"/>
    <cellWatch r="E429"/>
    <cellWatch r="F429"/>
    <cellWatch r="G429"/>
    <cellWatch r="H429"/>
    <cellWatch r="I429"/>
    <cellWatch r="J429"/>
    <cellWatch r="K429"/>
    <cellWatch r="L429"/>
    <cellWatch r="M429"/>
    <cellWatch r="N429"/>
    <cellWatch r="A430"/>
    <cellWatch r="B430"/>
    <cellWatch r="C430"/>
    <cellWatch r="D430"/>
    <cellWatch r="E430"/>
    <cellWatch r="F430"/>
    <cellWatch r="G430"/>
    <cellWatch r="H430"/>
    <cellWatch r="I430"/>
    <cellWatch r="J430"/>
    <cellWatch r="K430"/>
    <cellWatch r="L430"/>
    <cellWatch r="M430"/>
    <cellWatch r="N430"/>
    <cellWatch r="A431"/>
    <cellWatch r="B431"/>
    <cellWatch r="C431"/>
    <cellWatch r="D431"/>
    <cellWatch r="E431"/>
    <cellWatch r="F431"/>
    <cellWatch r="G431"/>
    <cellWatch r="H431"/>
    <cellWatch r="I431"/>
    <cellWatch r="J431"/>
    <cellWatch r="K431"/>
    <cellWatch r="L431"/>
    <cellWatch r="M431"/>
    <cellWatch r="N431"/>
    <cellWatch r="A432"/>
    <cellWatch r="B432"/>
    <cellWatch r="C432"/>
    <cellWatch r="D432"/>
    <cellWatch r="E432"/>
    <cellWatch r="F432"/>
    <cellWatch r="G432"/>
    <cellWatch r="H432"/>
    <cellWatch r="I432"/>
    <cellWatch r="J432"/>
    <cellWatch r="K432"/>
    <cellWatch r="L432"/>
    <cellWatch r="M432"/>
    <cellWatch r="N432"/>
    <cellWatch r="A433"/>
    <cellWatch r="B433"/>
    <cellWatch r="C433"/>
    <cellWatch r="D433"/>
    <cellWatch r="E433"/>
    <cellWatch r="F433"/>
    <cellWatch r="G433"/>
    <cellWatch r="H433"/>
    <cellWatch r="I433"/>
    <cellWatch r="J433"/>
    <cellWatch r="K433"/>
    <cellWatch r="L433"/>
    <cellWatch r="M433"/>
    <cellWatch r="N433"/>
    <cellWatch r="A434"/>
    <cellWatch r="B434"/>
    <cellWatch r="C434"/>
    <cellWatch r="D434"/>
    <cellWatch r="E434"/>
    <cellWatch r="F434"/>
    <cellWatch r="G434"/>
    <cellWatch r="H434"/>
    <cellWatch r="I434"/>
    <cellWatch r="J434"/>
    <cellWatch r="K434"/>
    <cellWatch r="L434"/>
    <cellWatch r="M434"/>
    <cellWatch r="N434"/>
    <cellWatch r="A435"/>
    <cellWatch r="B435"/>
    <cellWatch r="C435"/>
    <cellWatch r="D435"/>
    <cellWatch r="E435"/>
    <cellWatch r="F435"/>
    <cellWatch r="G435"/>
    <cellWatch r="H435"/>
    <cellWatch r="I435"/>
    <cellWatch r="J435"/>
    <cellWatch r="K435"/>
    <cellWatch r="L435"/>
    <cellWatch r="M435"/>
    <cellWatch r="N435"/>
    <cellWatch r="A436"/>
    <cellWatch r="B436"/>
    <cellWatch r="C436"/>
    <cellWatch r="D436"/>
    <cellWatch r="E436"/>
    <cellWatch r="F436"/>
    <cellWatch r="G436"/>
    <cellWatch r="H436"/>
    <cellWatch r="I436"/>
    <cellWatch r="J436"/>
    <cellWatch r="K436"/>
    <cellWatch r="L436"/>
    <cellWatch r="M436"/>
    <cellWatch r="N436"/>
    <cellWatch r="A437"/>
    <cellWatch r="B437"/>
    <cellWatch r="C437"/>
    <cellWatch r="D437"/>
    <cellWatch r="E437"/>
    <cellWatch r="F437"/>
    <cellWatch r="G437"/>
    <cellWatch r="H437"/>
    <cellWatch r="I437"/>
    <cellWatch r="J437"/>
    <cellWatch r="K437"/>
    <cellWatch r="L437"/>
    <cellWatch r="M437"/>
    <cellWatch r="N437"/>
    <cellWatch r="A438"/>
    <cellWatch r="B438"/>
    <cellWatch r="C438"/>
    <cellWatch r="D438"/>
    <cellWatch r="E438"/>
    <cellWatch r="F438"/>
    <cellWatch r="G438"/>
    <cellWatch r="H438"/>
    <cellWatch r="I438"/>
    <cellWatch r="J438"/>
    <cellWatch r="K438"/>
    <cellWatch r="L438"/>
    <cellWatch r="M438"/>
    <cellWatch r="N438"/>
    <cellWatch r="A439"/>
    <cellWatch r="B439"/>
    <cellWatch r="C439"/>
    <cellWatch r="D439"/>
    <cellWatch r="E439"/>
    <cellWatch r="F439"/>
    <cellWatch r="G439"/>
    <cellWatch r="H439"/>
    <cellWatch r="I439"/>
    <cellWatch r="J439"/>
    <cellWatch r="K439"/>
    <cellWatch r="L439"/>
    <cellWatch r="M439"/>
    <cellWatch r="N439"/>
    <cellWatch r="A440"/>
    <cellWatch r="B440"/>
    <cellWatch r="C440"/>
    <cellWatch r="D440"/>
    <cellWatch r="E440"/>
    <cellWatch r="F440"/>
    <cellWatch r="G440"/>
    <cellWatch r="H440"/>
    <cellWatch r="I440"/>
    <cellWatch r="J440"/>
    <cellWatch r="K440"/>
    <cellWatch r="L440"/>
    <cellWatch r="M440"/>
    <cellWatch r="N440"/>
    <cellWatch r="A441"/>
    <cellWatch r="B441"/>
    <cellWatch r="C441"/>
    <cellWatch r="D441"/>
    <cellWatch r="E441"/>
    <cellWatch r="F441"/>
    <cellWatch r="G441"/>
    <cellWatch r="H441"/>
    <cellWatch r="I441"/>
    <cellWatch r="J441"/>
    <cellWatch r="K441"/>
    <cellWatch r="L441"/>
    <cellWatch r="M441"/>
    <cellWatch r="N441"/>
    <cellWatch r="A442"/>
    <cellWatch r="B442"/>
    <cellWatch r="C442"/>
    <cellWatch r="D442"/>
    <cellWatch r="E442"/>
    <cellWatch r="F442"/>
    <cellWatch r="G442"/>
    <cellWatch r="H442"/>
    <cellWatch r="I442"/>
    <cellWatch r="J442"/>
    <cellWatch r="K442"/>
    <cellWatch r="L442"/>
    <cellWatch r="M442"/>
    <cellWatch r="N442"/>
    <cellWatch r="A443"/>
    <cellWatch r="B443"/>
    <cellWatch r="C443"/>
    <cellWatch r="D443"/>
    <cellWatch r="E443"/>
    <cellWatch r="F443"/>
    <cellWatch r="G443"/>
    <cellWatch r="H443"/>
    <cellWatch r="I443"/>
    <cellWatch r="J443"/>
    <cellWatch r="K443"/>
    <cellWatch r="L443"/>
    <cellWatch r="M443"/>
    <cellWatch r="N443"/>
    <cellWatch r="A444"/>
    <cellWatch r="B444"/>
    <cellWatch r="C444"/>
    <cellWatch r="D444"/>
    <cellWatch r="E444"/>
    <cellWatch r="F444"/>
    <cellWatch r="G444"/>
    <cellWatch r="H444"/>
    <cellWatch r="I444"/>
    <cellWatch r="J444"/>
    <cellWatch r="K444"/>
    <cellWatch r="L444"/>
    <cellWatch r="M444"/>
    <cellWatch r="N444"/>
    <cellWatch r="A445"/>
    <cellWatch r="B445"/>
    <cellWatch r="C445"/>
    <cellWatch r="D445"/>
    <cellWatch r="E445"/>
    <cellWatch r="F445"/>
    <cellWatch r="G445"/>
    <cellWatch r="H445"/>
    <cellWatch r="I445"/>
    <cellWatch r="J445"/>
    <cellWatch r="K445"/>
    <cellWatch r="L445"/>
    <cellWatch r="M445"/>
    <cellWatch r="N445"/>
    <cellWatch r="A446"/>
    <cellWatch r="B446"/>
    <cellWatch r="C446"/>
    <cellWatch r="D446"/>
    <cellWatch r="E446"/>
    <cellWatch r="F446"/>
    <cellWatch r="G446"/>
    <cellWatch r="H446"/>
    <cellWatch r="I446"/>
    <cellWatch r="J446"/>
    <cellWatch r="K446"/>
    <cellWatch r="L446"/>
    <cellWatch r="M446"/>
    <cellWatch r="N446"/>
    <cellWatch r="A447"/>
    <cellWatch r="B447"/>
    <cellWatch r="C447"/>
    <cellWatch r="D447"/>
    <cellWatch r="E447"/>
    <cellWatch r="F447"/>
    <cellWatch r="G447"/>
    <cellWatch r="H447"/>
    <cellWatch r="I447"/>
    <cellWatch r="J447"/>
    <cellWatch r="K447"/>
    <cellWatch r="L447"/>
    <cellWatch r="M447"/>
    <cellWatch r="N447"/>
    <cellWatch r="A448"/>
    <cellWatch r="B448"/>
    <cellWatch r="C448"/>
    <cellWatch r="D448"/>
    <cellWatch r="E448"/>
    <cellWatch r="F448"/>
    <cellWatch r="G448"/>
    <cellWatch r="H448"/>
    <cellWatch r="I448"/>
    <cellWatch r="J448"/>
    <cellWatch r="K448"/>
    <cellWatch r="L448"/>
    <cellWatch r="M448"/>
    <cellWatch r="N448"/>
    <cellWatch r="A449"/>
    <cellWatch r="B449"/>
    <cellWatch r="C449"/>
    <cellWatch r="D449"/>
    <cellWatch r="E449"/>
    <cellWatch r="F449"/>
    <cellWatch r="G449"/>
    <cellWatch r="H449"/>
    <cellWatch r="I449"/>
    <cellWatch r="J449"/>
    <cellWatch r="K449"/>
    <cellWatch r="L449"/>
    <cellWatch r="M449"/>
    <cellWatch r="N449"/>
    <cellWatch r="A450"/>
    <cellWatch r="B450"/>
    <cellWatch r="C450"/>
    <cellWatch r="D450"/>
    <cellWatch r="E450"/>
    <cellWatch r="F450"/>
    <cellWatch r="G450"/>
    <cellWatch r="H450"/>
    <cellWatch r="I450"/>
    <cellWatch r="J450"/>
    <cellWatch r="K450"/>
    <cellWatch r="L450"/>
    <cellWatch r="M450"/>
    <cellWatch r="N450"/>
    <cellWatch r="A451"/>
    <cellWatch r="B451"/>
    <cellWatch r="C451"/>
    <cellWatch r="D451"/>
    <cellWatch r="E451"/>
    <cellWatch r="F451"/>
    <cellWatch r="G451"/>
    <cellWatch r="H451"/>
    <cellWatch r="I451"/>
    <cellWatch r="J451"/>
    <cellWatch r="K451"/>
    <cellWatch r="L451"/>
    <cellWatch r="M451"/>
    <cellWatch r="N451"/>
    <cellWatch r="A452"/>
    <cellWatch r="B452"/>
    <cellWatch r="C452"/>
    <cellWatch r="D452"/>
    <cellWatch r="E452"/>
    <cellWatch r="F452"/>
    <cellWatch r="G452"/>
    <cellWatch r="H452"/>
    <cellWatch r="I452"/>
    <cellWatch r="J452"/>
    <cellWatch r="K452"/>
    <cellWatch r="L452"/>
    <cellWatch r="M452"/>
    <cellWatch r="N452"/>
    <cellWatch r="A453"/>
    <cellWatch r="B453"/>
    <cellWatch r="C453"/>
    <cellWatch r="D453"/>
    <cellWatch r="E453"/>
    <cellWatch r="F453"/>
    <cellWatch r="G453"/>
    <cellWatch r="H453"/>
    <cellWatch r="I453"/>
    <cellWatch r="J453"/>
    <cellWatch r="K453"/>
    <cellWatch r="L453"/>
    <cellWatch r="M453"/>
    <cellWatch r="N453"/>
    <cellWatch r="A454"/>
    <cellWatch r="B454"/>
    <cellWatch r="C454"/>
    <cellWatch r="D454"/>
    <cellWatch r="E454"/>
    <cellWatch r="F454"/>
    <cellWatch r="G454"/>
    <cellWatch r="H454"/>
    <cellWatch r="I454"/>
    <cellWatch r="J454"/>
    <cellWatch r="K454"/>
    <cellWatch r="L454"/>
    <cellWatch r="M454"/>
    <cellWatch r="N454"/>
    <cellWatch r="A455"/>
    <cellWatch r="B455"/>
    <cellWatch r="C455"/>
    <cellWatch r="D455"/>
    <cellWatch r="E455"/>
    <cellWatch r="F455"/>
    <cellWatch r="G455"/>
    <cellWatch r="H455"/>
    <cellWatch r="I455"/>
    <cellWatch r="J455"/>
    <cellWatch r="K455"/>
    <cellWatch r="L455"/>
    <cellWatch r="M455"/>
    <cellWatch r="N455"/>
    <cellWatch r="A456"/>
    <cellWatch r="B456"/>
    <cellWatch r="C456"/>
    <cellWatch r="D456"/>
    <cellWatch r="E456"/>
    <cellWatch r="F456"/>
    <cellWatch r="G456"/>
    <cellWatch r="H456"/>
    <cellWatch r="I456"/>
    <cellWatch r="J456"/>
    <cellWatch r="K456"/>
    <cellWatch r="L456"/>
    <cellWatch r="M456"/>
    <cellWatch r="N456"/>
    <cellWatch r="A457"/>
    <cellWatch r="B457"/>
    <cellWatch r="C457"/>
    <cellWatch r="D457"/>
    <cellWatch r="E457"/>
    <cellWatch r="F457"/>
    <cellWatch r="G457"/>
    <cellWatch r="H457"/>
    <cellWatch r="I457"/>
    <cellWatch r="J457"/>
    <cellWatch r="K457"/>
    <cellWatch r="L457"/>
    <cellWatch r="M457"/>
    <cellWatch r="N457"/>
    <cellWatch r="A458"/>
    <cellWatch r="B458"/>
    <cellWatch r="C458"/>
    <cellWatch r="D458"/>
    <cellWatch r="E458"/>
    <cellWatch r="F458"/>
    <cellWatch r="G458"/>
    <cellWatch r="H458"/>
    <cellWatch r="I458"/>
    <cellWatch r="J458"/>
    <cellWatch r="K458"/>
    <cellWatch r="L458"/>
    <cellWatch r="M458"/>
    <cellWatch r="N458"/>
    <cellWatch r="A459"/>
    <cellWatch r="B459"/>
    <cellWatch r="C459"/>
    <cellWatch r="D459"/>
    <cellWatch r="E459"/>
    <cellWatch r="F459"/>
    <cellWatch r="G459"/>
    <cellWatch r="H459"/>
    <cellWatch r="I459"/>
    <cellWatch r="J459"/>
    <cellWatch r="K459"/>
    <cellWatch r="L459"/>
    <cellWatch r="M459"/>
    <cellWatch r="N459"/>
    <cellWatch r="A460"/>
    <cellWatch r="B460"/>
    <cellWatch r="C460"/>
    <cellWatch r="D460"/>
    <cellWatch r="E460"/>
    <cellWatch r="F460"/>
    <cellWatch r="G460"/>
    <cellWatch r="H460"/>
    <cellWatch r="I460"/>
    <cellWatch r="J460"/>
    <cellWatch r="K460"/>
    <cellWatch r="L460"/>
    <cellWatch r="M460"/>
    <cellWatch r="N460"/>
    <cellWatch r="A461"/>
    <cellWatch r="B461"/>
    <cellWatch r="C461"/>
    <cellWatch r="D461"/>
    <cellWatch r="E461"/>
    <cellWatch r="F461"/>
    <cellWatch r="G461"/>
    <cellWatch r="H461"/>
    <cellWatch r="I461"/>
    <cellWatch r="J461"/>
    <cellWatch r="K461"/>
    <cellWatch r="L461"/>
    <cellWatch r="M461"/>
    <cellWatch r="N461"/>
    <cellWatch r="A462"/>
    <cellWatch r="B462"/>
    <cellWatch r="C462"/>
    <cellWatch r="D462"/>
    <cellWatch r="E462"/>
    <cellWatch r="F462"/>
    <cellWatch r="G462"/>
    <cellWatch r="H462"/>
    <cellWatch r="I462"/>
    <cellWatch r="J462"/>
    <cellWatch r="K462"/>
    <cellWatch r="L462"/>
    <cellWatch r="M462"/>
    <cellWatch r="N462"/>
    <cellWatch r="A463"/>
    <cellWatch r="B463"/>
    <cellWatch r="C463"/>
    <cellWatch r="D463"/>
    <cellWatch r="E463"/>
    <cellWatch r="F463"/>
    <cellWatch r="G463"/>
    <cellWatch r="H463"/>
    <cellWatch r="I463"/>
    <cellWatch r="J463"/>
    <cellWatch r="K463"/>
    <cellWatch r="L463"/>
    <cellWatch r="M463"/>
    <cellWatch r="N463"/>
    <cellWatch r="A464"/>
    <cellWatch r="B464"/>
    <cellWatch r="C464"/>
    <cellWatch r="D464"/>
    <cellWatch r="E464"/>
    <cellWatch r="F464"/>
    <cellWatch r="G464"/>
    <cellWatch r="H464"/>
    <cellWatch r="I464"/>
    <cellWatch r="J464"/>
    <cellWatch r="K464"/>
    <cellWatch r="L464"/>
    <cellWatch r="M464"/>
    <cellWatch r="N464"/>
    <cellWatch r="A465"/>
    <cellWatch r="B465"/>
    <cellWatch r="C465"/>
    <cellWatch r="D465"/>
    <cellWatch r="E465"/>
    <cellWatch r="F465"/>
    <cellWatch r="G465"/>
    <cellWatch r="H465"/>
    <cellWatch r="I465"/>
    <cellWatch r="J465"/>
    <cellWatch r="K465"/>
    <cellWatch r="L465"/>
    <cellWatch r="M465"/>
    <cellWatch r="N465"/>
    <cellWatch r="A466"/>
    <cellWatch r="B466"/>
    <cellWatch r="C466"/>
    <cellWatch r="D466"/>
    <cellWatch r="E466"/>
    <cellWatch r="F466"/>
    <cellWatch r="G466"/>
    <cellWatch r="H466"/>
    <cellWatch r="I466"/>
    <cellWatch r="J466"/>
    <cellWatch r="K466"/>
    <cellWatch r="L466"/>
    <cellWatch r="M466"/>
    <cellWatch r="N466"/>
    <cellWatch r="A467"/>
    <cellWatch r="B467"/>
    <cellWatch r="C467"/>
    <cellWatch r="D467"/>
    <cellWatch r="E467"/>
    <cellWatch r="F467"/>
    <cellWatch r="G467"/>
    <cellWatch r="H467"/>
    <cellWatch r="I467"/>
    <cellWatch r="J467"/>
    <cellWatch r="K467"/>
    <cellWatch r="L467"/>
    <cellWatch r="M467"/>
    <cellWatch r="N467"/>
    <cellWatch r="A468"/>
    <cellWatch r="B468"/>
    <cellWatch r="C468"/>
    <cellWatch r="D468"/>
    <cellWatch r="E468"/>
    <cellWatch r="F468"/>
    <cellWatch r="G468"/>
    <cellWatch r="H468"/>
    <cellWatch r="I468"/>
    <cellWatch r="J468"/>
    <cellWatch r="K468"/>
    <cellWatch r="L468"/>
    <cellWatch r="M468"/>
    <cellWatch r="N468"/>
    <cellWatch r="A469"/>
    <cellWatch r="B469"/>
    <cellWatch r="C469"/>
    <cellWatch r="D469"/>
    <cellWatch r="E469"/>
    <cellWatch r="F469"/>
    <cellWatch r="G469"/>
    <cellWatch r="H469"/>
    <cellWatch r="I469"/>
    <cellWatch r="J469"/>
    <cellWatch r="K469"/>
    <cellWatch r="L469"/>
    <cellWatch r="M469"/>
    <cellWatch r="N469"/>
    <cellWatch r="A470"/>
    <cellWatch r="B470"/>
    <cellWatch r="C470"/>
    <cellWatch r="D470"/>
    <cellWatch r="E470"/>
    <cellWatch r="F470"/>
    <cellWatch r="G470"/>
    <cellWatch r="H470"/>
    <cellWatch r="I470"/>
    <cellWatch r="J470"/>
    <cellWatch r="K470"/>
    <cellWatch r="L470"/>
    <cellWatch r="M470"/>
    <cellWatch r="N470"/>
    <cellWatch r="A471"/>
    <cellWatch r="B471"/>
    <cellWatch r="C471"/>
    <cellWatch r="D471"/>
    <cellWatch r="E471"/>
    <cellWatch r="F471"/>
    <cellWatch r="G471"/>
    <cellWatch r="H471"/>
    <cellWatch r="I471"/>
    <cellWatch r="J471"/>
    <cellWatch r="K471"/>
    <cellWatch r="L471"/>
    <cellWatch r="M471"/>
    <cellWatch r="N471"/>
    <cellWatch r="A472"/>
    <cellWatch r="B472"/>
    <cellWatch r="C472"/>
    <cellWatch r="D472"/>
    <cellWatch r="E472"/>
    <cellWatch r="F472"/>
    <cellWatch r="G472"/>
    <cellWatch r="H472"/>
    <cellWatch r="I472"/>
    <cellWatch r="J472"/>
    <cellWatch r="K472"/>
    <cellWatch r="L472"/>
    <cellWatch r="M472"/>
    <cellWatch r="N472"/>
    <cellWatch r="A473"/>
    <cellWatch r="B473"/>
    <cellWatch r="C473"/>
    <cellWatch r="D473"/>
    <cellWatch r="E473"/>
    <cellWatch r="F473"/>
    <cellWatch r="G473"/>
    <cellWatch r="H473"/>
    <cellWatch r="I473"/>
    <cellWatch r="J473"/>
    <cellWatch r="K473"/>
    <cellWatch r="L473"/>
    <cellWatch r="M473"/>
    <cellWatch r="N473"/>
    <cellWatch r="A474"/>
    <cellWatch r="B474"/>
    <cellWatch r="C474"/>
    <cellWatch r="D474"/>
    <cellWatch r="E474"/>
    <cellWatch r="F474"/>
    <cellWatch r="G474"/>
    <cellWatch r="H474"/>
    <cellWatch r="I474"/>
    <cellWatch r="J474"/>
    <cellWatch r="K474"/>
    <cellWatch r="L474"/>
    <cellWatch r="M474"/>
    <cellWatch r="N474"/>
    <cellWatch r="A475"/>
    <cellWatch r="B475"/>
    <cellWatch r="C475"/>
    <cellWatch r="D475"/>
    <cellWatch r="E475"/>
    <cellWatch r="F475"/>
    <cellWatch r="G475"/>
    <cellWatch r="H475"/>
    <cellWatch r="I475"/>
    <cellWatch r="J475"/>
    <cellWatch r="K475"/>
    <cellWatch r="L475"/>
    <cellWatch r="M475"/>
    <cellWatch r="N475"/>
    <cellWatch r="A476"/>
    <cellWatch r="B476"/>
    <cellWatch r="C476"/>
    <cellWatch r="D476"/>
    <cellWatch r="E476"/>
    <cellWatch r="F476"/>
    <cellWatch r="G476"/>
    <cellWatch r="H476"/>
    <cellWatch r="I476"/>
    <cellWatch r="J476"/>
    <cellWatch r="K476"/>
    <cellWatch r="L476"/>
    <cellWatch r="M476"/>
    <cellWatch r="N476"/>
    <cellWatch r="A477"/>
    <cellWatch r="B477"/>
    <cellWatch r="C477"/>
    <cellWatch r="D477"/>
    <cellWatch r="E477"/>
    <cellWatch r="F477"/>
    <cellWatch r="G477"/>
    <cellWatch r="H477"/>
    <cellWatch r="I477"/>
    <cellWatch r="J477"/>
    <cellWatch r="K477"/>
    <cellWatch r="L477"/>
    <cellWatch r="M477"/>
    <cellWatch r="N477"/>
    <cellWatch r="A478"/>
    <cellWatch r="B478"/>
    <cellWatch r="C478"/>
    <cellWatch r="D478"/>
    <cellWatch r="E478"/>
    <cellWatch r="F478"/>
    <cellWatch r="G478"/>
    <cellWatch r="H478"/>
    <cellWatch r="I478"/>
    <cellWatch r="J478"/>
    <cellWatch r="K478"/>
    <cellWatch r="L478"/>
    <cellWatch r="M478"/>
    <cellWatch r="N478"/>
    <cellWatch r="A479"/>
    <cellWatch r="B479"/>
    <cellWatch r="C479"/>
    <cellWatch r="D479"/>
    <cellWatch r="E479"/>
    <cellWatch r="F479"/>
    <cellWatch r="G479"/>
    <cellWatch r="H479"/>
    <cellWatch r="I479"/>
    <cellWatch r="J479"/>
    <cellWatch r="K479"/>
    <cellWatch r="L479"/>
    <cellWatch r="M479"/>
    <cellWatch r="N479"/>
    <cellWatch r="A480"/>
    <cellWatch r="B480"/>
    <cellWatch r="C480"/>
    <cellWatch r="D480"/>
    <cellWatch r="E480"/>
    <cellWatch r="F480"/>
    <cellWatch r="G480"/>
    <cellWatch r="H480"/>
    <cellWatch r="I480"/>
    <cellWatch r="J480"/>
    <cellWatch r="K480"/>
    <cellWatch r="L480"/>
    <cellWatch r="M480"/>
    <cellWatch r="N480"/>
    <cellWatch r="A481"/>
    <cellWatch r="B481"/>
    <cellWatch r="C481"/>
    <cellWatch r="D481"/>
    <cellWatch r="E481"/>
    <cellWatch r="F481"/>
    <cellWatch r="G481"/>
    <cellWatch r="H481"/>
    <cellWatch r="I481"/>
    <cellWatch r="J481"/>
    <cellWatch r="K481"/>
    <cellWatch r="L481"/>
    <cellWatch r="M481"/>
    <cellWatch r="N481"/>
    <cellWatch r="A482"/>
    <cellWatch r="B482"/>
    <cellWatch r="C482"/>
    <cellWatch r="D482"/>
    <cellWatch r="E482"/>
    <cellWatch r="F482"/>
    <cellWatch r="G482"/>
    <cellWatch r="H482"/>
    <cellWatch r="I482"/>
    <cellWatch r="J482"/>
    <cellWatch r="K482"/>
    <cellWatch r="L482"/>
    <cellWatch r="M482"/>
    <cellWatch r="N482"/>
    <cellWatch r="A483"/>
    <cellWatch r="B483"/>
    <cellWatch r="C483"/>
    <cellWatch r="D483"/>
    <cellWatch r="E483"/>
    <cellWatch r="F483"/>
    <cellWatch r="G483"/>
    <cellWatch r="H483"/>
    <cellWatch r="I483"/>
    <cellWatch r="J483"/>
    <cellWatch r="K483"/>
    <cellWatch r="L483"/>
    <cellWatch r="M483"/>
    <cellWatch r="N483"/>
    <cellWatch r="A484"/>
    <cellWatch r="B484"/>
    <cellWatch r="C484"/>
    <cellWatch r="D484"/>
    <cellWatch r="E484"/>
    <cellWatch r="F484"/>
    <cellWatch r="G484"/>
    <cellWatch r="H484"/>
    <cellWatch r="I484"/>
    <cellWatch r="J484"/>
    <cellWatch r="K484"/>
    <cellWatch r="L484"/>
    <cellWatch r="M484"/>
    <cellWatch r="N484"/>
    <cellWatch r="A485"/>
    <cellWatch r="B485"/>
    <cellWatch r="C485"/>
    <cellWatch r="D485"/>
    <cellWatch r="E485"/>
    <cellWatch r="F485"/>
    <cellWatch r="G485"/>
    <cellWatch r="H485"/>
    <cellWatch r="I485"/>
    <cellWatch r="J485"/>
    <cellWatch r="K485"/>
    <cellWatch r="L485"/>
    <cellWatch r="M485"/>
    <cellWatch r="N485"/>
    <cellWatch r="A486"/>
    <cellWatch r="B486"/>
    <cellWatch r="C486"/>
    <cellWatch r="D486"/>
    <cellWatch r="E486"/>
    <cellWatch r="F486"/>
    <cellWatch r="G486"/>
    <cellWatch r="H486"/>
    <cellWatch r="I486"/>
    <cellWatch r="J486"/>
    <cellWatch r="K486"/>
    <cellWatch r="L486"/>
    <cellWatch r="M486"/>
    <cellWatch r="N486"/>
    <cellWatch r="A487"/>
    <cellWatch r="B487"/>
    <cellWatch r="C487"/>
    <cellWatch r="D487"/>
    <cellWatch r="E487"/>
    <cellWatch r="F487"/>
    <cellWatch r="G487"/>
    <cellWatch r="H487"/>
    <cellWatch r="I487"/>
    <cellWatch r="J487"/>
    <cellWatch r="K487"/>
    <cellWatch r="L487"/>
    <cellWatch r="M487"/>
    <cellWatch r="N487"/>
    <cellWatch r="A488"/>
    <cellWatch r="B488"/>
    <cellWatch r="C488"/>
    <cellWatch r="D488"/>
    <cellWatch r="E488"/>
    <cellWatch r="F488"/>
    <cellWatch r="G488"/>
    <cellWatch r="H488"/>
    <cellWatch r="I488"/>
    <cellWatch r="J488"/>
    <cellWatch r="K488"/>
    <cellWatch r="L488"/>
    <cellWatch r="M488"/>
    <cellWatch r="N488"/>
    <cellWatch r="A489"/>
    <cellWatch r="B489"/>
    <cellWatch r="C489"/>
    <cellWatch r="D489"/>
    <cellWatch r="E489"/>
    <cellWatch r="F489"/>
    <cellWatch r="G489"/>
    <cellWatch r="H489"/>
    <cellWatch r="I489"/>
    <cellWatch r="J489"/>
    <cellWatch r="K489"/>
    <cellWatch r="L489"/>
    <cellWatch r="M489"/>
    <cellWatch r="N489"/>
    <cellWatch r="A490"/>
    <cellWatch r="B490"/>
    <cellWatch r="C490"/>
    <cellWatch r="D490"/>
    <cellWatch r="E490"/>
    <cellWatch r="F490"/>
    <cellWatch r="G490"/>
    <cellWatch r="H490"/>
    <cellWatch r="I490"/>
    <cellWatch r="J490"/>
    <cellWatch r="K490"/>
    <cellWatch r="L490"/>
    <cellWatch r="M490"/>
    <cellWatch r="N490"/>
    <cellWatch r="A491"/>
    <cellWatch r="B491"/>
    <cellWatch r="C491"/>
    <cellWatch r="D491"/>
    <cellWatch r="E491"/>
    <cellWatch r="F491"/>
    <cellWatch r="G491"/>
    <cellWatch r="H491"/>
    <cellWatch r="I491"/>
    <cellWatch r="J491"/>
    <cellWatch r="K491"/>
    <cellWatch r="L491"/>
    <cellWatch r="M491"/>
    <cellWatch r="N491"/>
    <cellWatch r="A492"/>
    <cellWatch r="B492"/>
    <cellWatch r="C492"/>
    <cellWatch r="D492"/>
    <cellWatch r="E492"/>
    <cellWatch r="F492"/>
    <cellWatch r="G492"/>
    <cellWatch r="H492"/>
    <cellWatch r="I492"/>
    <cellWatch r="J492"/>
    <cellWatch r="K492"/>
    <cellWatch r="L492"/>
    <cellWatch r="M492"/>
    <cellWatch r="N492"/>
    <cellWatch r="A493"/>
    <cellWatch r="B493"/>
    <cellWatch r="C493"/>
    <cellWatch r="D493"/>
    <cellWatch r="E493"/>
    <cellWatch r="F493"/>
    <cellWatch r="G493"/>
    <cellWatch r="H493"/>
    <cellWatch r="I493"/>
    <cellWatch r="J493"/>
    <cellWatch r="K493"/>
    <cellWatch r="L493"/>
    <cellWatch r="M493"/>
    <cellWatch r="N493"/>
    <cellWatch r="A494"/>
    <cellWatch r="B494"/>
    <cellWatch r="C494"/>
    <cellWatch r="D494"/>
    <cellWatch r="E494"/>
    <cellWatch r="F494"/>
    <cellWatch r="G494"/>
    <cellWatch r="H494"/>
    <cellWatch r="I494"/>
    <cellWatch r="J494"/>
    <cellWatch r="K494"/>
    <cellWatch r="L494"/>
    <cellWatch r="M494"/>
    <cellWatch r="N494"/>
    <cellWatch r="A495"/>
    <cellWatch r="B495"/>
    <cellWatch r="C495"/>
    <cellWatch r="D495"/>
    <cellWatch r="E495"/>
    <cellWatch r="F495"/>
    <cellWatch r="G495"/>
    <cellWatch r="H495"/>
    <cellWatch r="I495"/>
    <cellWatch r="J495"/>
    <cellWatch r="K495"/>
    <cellWatch r="L495"/>
    <cellWatch r="M495"/>
    <cellWatch r="N495"/>
    <cellWatch r="A496"/>
    <cellWatch r="B496"/>
    <cellWatch r="C496"/>
    <cellWatch r="D496"/>
    <cellWatch r="E496"/>
    <cellWatch r="F496"/>
    <cellWatch r="G496"/>
    <cellWatch r="H496"/>
    <cellWatch r="I496"/>
    <cellWatch r="J496"/>
    <cellWatch r="K496"/>
    <cellWatch r="L496"/>
    <cellWatch r="M496"/>
    <cellWatch r="N496"/>
    <cellWatch r="A497"/>
    <cellWatch r="B497"/>
    <cellWatch r="C497"/>
    <cellWatch r="D497"/>
    <cellWatch r="E497"/>
    <cellWatch r="F497"/>
    <cellWatch r="G497"/>
    <cellWatch r="H497"/>
    <cellWatch r="I497"/>
    <cellWatch r="J497"/>
    <cellWatch r="K497"/>
    <cellWatch r="L497"/>
    <cellWatch r="M497"/>
    <cellWatch r="N497"/>
    <cellWatch r="A498"/>
    <cellWatch r="B498"/>
    <cellWatch r="C498"/>
    <cellWatch r="D498"/>
    <cellWatch r="E498"/>
    <cellWatch r="F498"/>
    <cellWatch r="G498"/>
    <cellWatch r="H498"/>
    <cellWatch r="I498"/>
    <cellWatch r="J498"/>
    <cellWatch r="K498"/>
    <cellWatch r="L498"/>
    <cellWatch r="M498"/>
    <cellWatch r="N498"/>
    <cellWatch r="A499"/>
    <cellWatch r="B499"/>
    <cellWatch r="C499"/>
    <cellWatch r="D499"/>
    <cellWatch r="E499"/>
    <cellWatch r="F499"/>
    <cellWatch r="G499"/>
    <cellWatch r="H499"/>
    <cellWatch r="I499"/>
    <cellWatch r="J499"/>
    <cellWatch r="K499"/>
    <cellWatch r="L499"/>
    <cellWatch r="M499"/>
    <cellWatch r="N499"/>
    <cellWatch r="A500"/>
    <cellWatch r="B500"/>
    <cellWatch r="C500"/>
    <cellWatch r="D500"/>
    <cellWatch r="E500"/>
    <cellWatch r="F500"/>
    <cellWatch r="G500"/>
    <cellWatch r="H500"/>
    <cellWatch r="I500"/>
    <cellWatch r="J500"/>
    <cellWatch r="K500"/>
    <cellWatch r="L500"/>
    <cellWatch r="M500"/>
    <cellWatch r="N500"/>
    <cellWatch r="A501"/>
    <cellWatch r="B501"/>
    <cellWatch r="C501"/>
    <cellWatch r="D501"/>
    <cellWatch r="E501"/>
    <cellWatch r="F501"/>
    <cellWatch r="G501"/>
    <cellWatch r="H501"/>
    <cellWatch r="I501"/>
    <cellWatch r="J501"/>
    <cellWatch r="K501"/>
    <cellWatch r="L501"/>
    <cellWatch r="M501"/>
    <cellWatch r="N501"/>
    <cellWatch r="A502"/>
    <cellWatch r="B502"/>
    <cellWatch r="C502"/>
    <cellWatch r="D502"/>
    <cellWatch r="E502"/>
    <cellWatch r="F502"/>
    <cellWatch r="G502"/>
    <cellWatch r="H502"/>
    <cellWatch r="I502"/>
    <cellWatch r="J502"/>
    <cellWatch r="K502"/>
    <cellWatch r="L502"/>
    <cellWatch r="M502"/>
    <cellWatch r="N502"/>
    <cellWatch r="A503"/>
    <cellWatch r="B503"/>
    <cellWatch r="C503"/>
    <cellWatch r="D503"/>
    <cellWatch r="E503"/>
    <cellWatch r="F503"/>
    <cellWatch r="G503"/>
    <cellWatch r="H503"/>
    <cellWatch r="I503"/>
    <cellWatch r="J503"/>
    <cellWatch r="K503"/>
    <cellWatch r="L503"/>
    <cellWatch r="M503"/>
    <cellWatch r="N503"/>
    <cellWatch r="A504"/>
    <cellWatch r="B504"/>
    <cellWatch r="C504"/>
    <cellWatch r="D504"/>
    <cellWatch r="E504"/>
    <cellWatch r="F504"/>
    <cellWatch r="G504"/>
    <cellWatch r="H504"/>
    <cellWatch r="I504"/>
    <cellWatch r="J504"/>
    <cellWatch r="K504"/>
    <cellWatch r="L504"/>
    <cellWatch r="M504"/>
    <cellWatch r="N504"/>
    <cellWatch r="A505"/>
    <cellWatch r="B505"/>
    <cellWatch r="C505"/>
    <cellWatch r="D505"/>
    <cellWatch r="E505"/>
    <cellWatch r="F505"/>
    <cellWatch r="G505"/>
    <cellWatch r="H505"/>
    <cellWatch r="I505"/>
    <cellWatch r="J505"/>
    <cellWatch r="K505"/>
    <cellWatch r="L505"/>
    <cellWatch r="M505"/>
    <cellWatch r="N505"/>
    <cellWatch r="A506"/>
    <cellWatch r="B506"/>
    <cellWatch r="C506"/>
    <cellWatch r="D506"/>
    <cellWatch r="E506"/>
    <cellWatch r="F506"/>
    <cellWatch r="G506"/>
    <cellWatch r="H506"/>
    <cellWatch r="I506"/>
    <cellWatch r="J506"/>
    <cellWatch r="K506"/>
    <cellWatch r="L506"/>
    <cellWatch r="M506"/>
    <cellWatch r="N506"/>
    <cellWatch r="A507"/>
    <cellWatch r="B507"/>
    <cellWatch r="C507"/>
    <cellWatch r="D507"/>
    <cellWatch r="E507"/>
    <cellWatch r="F507"/>
    <cellWatch r="G507"/>
    <cellWatch r="H507"/>
    <cellWatch r="I507"/>
    <cellWatch r="J507"/>
    <cellWatch r="K507"/>
    <cellWatch r="L507"/>
    <cellWatch r="M507"/>
    <cellWatch r="N507"/>
    <cellWatch r="A508"/>
    <cellWatch r="B508"/>
    <cellWatch r="C508"/>
    <cellWatch r="D508"/>
    <cellWatch r="E508"/>
    <cellWatch r="F508"/>
    <cellWatch r="G508"/>
    <cellWatch r="H508"/>
    <cellWatch r="I508"/>
    <cellWatch r="J508"/>
    <cellWatch r="K508"/>
    <cellWatch r="L508"/>
    <cellWatch r="M508"/>
    <cellWatch r="N508"/>
    <cellWatch r="A509"/>
    <cellWatch r="B509"/>
    <cellWatch r="C509"/>
    <cellWatch r="D509"/>
    <cellWatch r="E509"/>
    <cellWatch r="F509"/>
    <cellWatch r="G509"/>
    <cellWatch r="H509"/>
    <cellWatch r="I509"/>
    <cellWatch r="J509"/>
    <cellWatch r="K509"/>
    <cellWatch r="L509"/>
    <cellWatch r="M509"/>
    <cellWatch r="N509"/>
    <cellWatch r="A510"/>
    <cellWatch r="B510"/>
    <cellWatch r="C510"/>
    <cellWatch r="D510"/>
    <cellWatch r="E510"/>
    <cellWatch r="F510"/>
    <cellWatch r="G510"/>
    <cellWatch r="H510"/>
    <cellWatch r="I510"/>
    <cellWatch r="J510"/>
    <cellWatch r="K510"/>
    <cellWatch r="L510"/>
    <cellWatch r="M510"/>
    <cellWatch r="N510"/>
    <cellWatch r="A511"/>
    <cellWatch r="B511"/>
    <cellWatch r="C511"/>
    <cellWatch r="D511"/>
    <cellWatch r="E511"/>
    <cellWatch r="F511"/>
    <cellWatch r="G511"/>
    <cellWatch r="H511"/>
    <cellWatch r="I511"/>
    <cellWatch r="J511"/>
    <cellWatch r="K511"/>
    <cellWatch r="L511"/>
    <cellWatch r="M511"/>
    <cellWatch r="N511"/>
    <cellWatch r="A512"/>
    <cellWatch r="B512"/>
    <cellWatch r="C512"/>
    <cellWatch r="D512"/>
    <cellWatch r="E512"/>
    <cellWatch r="F512"/>
    <cellWatch r="G512"/>
    <cellWatch r="H512"/>
    <cellWatch r="I512"/>
    <cellWatch r="J512"/>
    <cellWatch r="K512"/>
    <cellWatch r="L512"/>
    <cellWatch r="M512"/>
    <cellWatch r="N512"/>
    <cellWatch r="A513"/>
    <cellWatch r="B513"/>
    <cellWatch r="C513"/>
    <cellWatch r="D513"/>
    <cellWatch r="E513"/>
    <cellWatch r="F513"/>
    <cellWatch r="G513"/>
    <cellWatch r="H513"/>
    <cellWatch r="I513"/>
    <cellWatch r="J513"/>
    <cellWatch r="K513"/>
    <cellWatch r="L513"/>
    <cellWatch r="M513"/>
    <cellWatch r="N513"/>
    <cellWatch r="A514"/>
    <cellWatch r="B514"/>
    <cellWatch r="C514"/>
    <cellWatch r="D514"/>
    <cellWatch r="E514"/>
    <cellWatch r="F514"/>
    <cellWatch r="G514"/>
    <cellWatch r="H514"/>
    <cellWatch r="I514"/>
    <cellWatch r="J514"/>
    <cellWatch r="K514"/>
    <cellWatch r="L514"/>
    <cellWatch r="M514"/>
    <cellWatch r="N514"/>
    <cellWatch r="A515"/>
    <cellWatch r="B515"/>
    <cellWatch r="C515"/>
    <cellWatch r="D515"/>
    <cellWatch r="E515"/>
    <cellWatch r="F515"/>
    <cellWatch r="G515"/>
    <cellWatch r="H515"/>
    <cellWatch r="I515"/>
    <cellWatch r="J515"/>
    <cellWatch r="K515"/>
    <cellWatch r="L515"/>
    <cellWatch r="M515"/>
    <cellWatch r="N515"/>
    <cellWatch r="A516"/>
    <cellWatch r="B516"/>
    <cellWatch r="C516"/>
    <cellWatch r="D516"/>
    <cellWatch r="E516"/>
    <cellWatch r="F516"/>
    <cellWatch r="G516"/>
    <cellWatch r="H516"/>
    <cellWatch r="I516"/>
    <cellWatch r="J516"/>
    <cellWatch r="K516"/>
    <cellWatch r="L516"/>
    <cellWatch r="M516"/>
    <cellWatch r="N516"/>
    <cellWatch r="A517"/>
    <cellWatch r="B517"/>
    <cellWatch r="C517"/>
    <cellWatch r="D517"/>
    <cellWatch r="E517"/>
    <cellWatch r="F517"/>
    <cellWatch r="G517"/>
    <cellWatch r="H517"/>
    <cellWatch r="I517"/>
    <cellWatch r="J517"/>
    <cellWatch r="K517"/>
    <cellWatch r="L517"/>
    <cellWatch r="M517"/>
    <cellWatch r="N517"/>
    <cellWatch r="A518"/>
    <cellWatch r="B518"/>
    <cellWatch r="C518"/>
    <cellWatch r="D518"/>
    <cellWatch r="E518"/>
    <cellWatch r="F518"/>
    <cellWatch r="G518"/>
    <cellWatch r="H518"/>
    <cellWatch r="I518"/>
    <cellWatch r="J518"/>
    <cellWatch r="K518"/>
    <cellWatch r="L518"/>
    <cellWatch r="M518"/>
    <cellWatch r="N518"/>
    <cellWatch r="A519"/>
    <cellWatch r="B519"/>
    <cellWatch r="C519"/>
    <cellWatch r="D519"/>
    <cellWatch r="E519"/>
    <cellWatch r="F519"/>
    <cellWatch r="G519"/>
    <cellWatch r="H519"/>
    <cellWatch r="I519"/>
    <cellWatch r="J519"/>
    <cellWatch r="K519"/>
    <cellWatch r="L519"/>
    <cellWatch r="M519"/>
    <cellWatch r="N519"/>
    <cellWatch r="A520"/>
    <cellWatch r="B520"/>
    <cellWatch r="C520"/>
    <cellWatch r="D520"/>
    <cellWatch r="E520"/>
    <cellWatch r="F520"/>
    <cellWatch r="G520"/>
    <cellWatch r="H520"/>
    <cellWatch r="I520"/>
    <cellWatch r="J520"/>
    <cellWatch r="K520"/>
    <cellWatch r="L520"/>
    <cellWatch r="M520"/>
    <cellWatch r="N520"/>
    <cellWatch r="A521"/>
    <cellWatch r="B521"/>
    <cellWatch r="C521"/>
    <cellWatch r="D521"/>
    <cellWatch r="E521"/>
    <cellWatch r="F521"/>
    <cellWatch r="G521"/>
    <cellWatch r="H521"/>
    <cellWatch r="I521"/>
    <cellWatch r="J521"/>
    <cellWatch r="K521"/>
    <cellWatch r="L521"/>
    <cellWatch r="M521"/>
    <cellWatch r="N521"/>
    <cellWatch r="A522"/>
    <cellWatch r="B522"/>
    <cellWatch r="C522"/>
    <cellWatch r="D522"/>
    <cellWatch r="E522"/>
    <cellWatch r="F522"/>
    <cellWatch r="G522"/>
    <cellWatch r="H522"/>
    <cellWatch r="I522"/>
    <cellWatch r="J522"/>
    <cellWatch r="K522"/>
    <cellWatch r="L522"/>
    <cellWatch r="M522"/>
    <cellWatch r="N522"/>
    <cellWatch r="A523"/>
    <cellWatch r="B523"/>
    <cellWatch r="C523"/>
    <cellWatch r="D523"/>
    <cellWatch r="E523"/>
    <cellWatch r="F523"/>
    <cellWatch r="G523"/>
    <cellWatch r="H523"/>
    <cellWatch r="I523"/>
    <cellWatch r="J523"/>
    <cellWatch r="K523"/>
    <cellWatch r="L523"/>
    <cellWatch r="M523"/>
    <cellWatch r="N523"/>
    <cellWatch r="A524"/>
    <cellWatch r="B524"/>
    <cellWatch r="C524"/>
    <cellWatch r="D524"/>
    <cellWatch r="E524"/>
    <cellWatch r="F524"/>
    <cellWatch r="G524"/>
    <cellWatch r="H524"/>
    <cellWatch r="I524"/>
    <cellWatch r="J524"/>
    <cellWatch r="K524"/>
    <cellWatch r="L524"/>
    <cellWatch r="M524"/>
    <cellWatch r="N524"/>
    <cellWatch r="A525"/>
    <cellWatch r="B525"/>
    <cellWatch r="C525"/>
    <cellWatch r="D525"/>
    <cellWatch r="E525"/>
    <cellWatch r="F525"/>
    <cellWatch r="G525"/>
    <cellWatch r="H525"/>
    <cellWatch r="I525"/>
    <cellWatch r="J525"/>
    <cellWatch r="K525"/>
    <cellWatch r="L525"/>
    <cellWatch r="M525"/>
    <cellWatch r="N525"/>
    <cellWatch r="A526"/>
    <cellWatch r="B526"/>
    <cellWatch r="C526"/>
    <cellWatch r="D526"/>
    <cellWatch r="E526"/>
    <cellWatch r="F526"/>
    <cellWatch r="G526"/>
    <cellWatch r="H526"/>
    <cellWatch r="I526"/>
    <cellWatch r="J526"/>
    <cellWatch r="K526"/>
    <cellWatch r="L526"/>
    <cellWatch r="M526"/>
    <cellWatch r="N526"/>
    <cellWatch r="A527"/>
    <cellWatch r="B527"/>
    <cellWatch r="C527"/>
    <cellWatch r="D527"/>
    <cellWatch r="E527"/>
    <cellWatch r="F527"/>
    <cellWatch r="G527"/>
    <cellWatch r="H527"/>
    <cellWatch r="I527"/>
    <cellWatch r="J527"/>
    <cellWatch r="K527"/>
    <cellWatch r="L527"/>
    <cellWatch r="M527"/>
    <cellWatch r="N527"/>
    <cellWatch r="A528"/>
    <cellWatch r="B528"/>
    <cellWatch r="C528"/>
    <cellWatch r="D528"/>
    <cellWatch r="E528"/>
    <cellWatch r="F528"/>
    <cellWatch r="G528"/>
    <cellWatch r="H528"/>
    <cellWatch r="I528"/>
    <cellWatch r="J528"/>
    <cellWatch r="K528"/>
    <cellWatch r="L528"/>
    <cellWatch r="M528"/>
    <cellWatch r="N528"/>
    <cellWatch r="A529"/>
    <cellWatch r="B529"/>
    <cellWatch r="C529"/>
    <cellWatch r="D529"/>
    <cellWatch r="E529"/>
    <cellWatch r="F529"/>
    <cellWatch r="G529"/>
    <cellWatch r="H529"/>
    <cellWatch r="I529"/>
    <cellWatch r="J529"/>
    <cellWatch r="K529"/>
    <cellWatch r="L529"/>
    <cellWatch r="M529"/>
    <cellWatch r="N529"/>
    <cellWatch r="A530"/>
    <cellWatch r="B530"/>
    <cellWatch r="C530"/>
    <cellWatch r="D530"/>
    <cellWatch r="E530"/>
    <cellWatch r="F530"/>
    <cellWatch r="G530"/>
    <cellWatch r="H530"/>
    <cellWatch r="I530"/>
    <cellWatch r="J530"/>
    <cellWatch r="K530"/>
    <cellWatch r="L530"/>
    <cellWatch r="M530"/>
    <cellWatch r="N530"/>
    <cellWatch r="A531"/>
    <cellWatch r="B531"/>
    <cellWatch r="C531"/>
    <cellWatch r="D531"/>
    <cellWatch r="E531"/>
    <cellWatch r="F531"/>
    <cellWatch r="G531"/>
    <cellWatch r="H531"/>
    <cellWatch r="I531"/>
    <cellWatch r="J531"/>
    <cellWatch r="K531"/>
    <cellWatch r="L531"/>
    <cellWatch r="M531"/>
    <cellWatch r="N531"/>
    <cellWatch r="A532"/>
    <cellWatch r="B532"/>
    <cellWatch r="C532"/>
    <cellWatch r="D532"/>
    <cellWatch r="E532"/>
    <cellWatch r="F532"/>
    <cellWatch r="G532"/>
    <cellWatch r="H532"/>
    <cellWatch r="I532"/>
    <cellWatch r="J532"/>
    <cellWatch r="K532"/>
    <cellWatch r="L532"/>
    <cellWatch r="M532"/>
    <cellWatch r="N532"/>
    <cellWatch r="A533"/>
    <cellWatch r="B533"/>
    <cellWatch r="C533"/>
    <cellWatch r="D533"/>
    <cellWatch r="E533"/>
    <cellWatch r="F533"/>
    <cellWatch r="G533"/>
    <cellWatch r="H533"/>
    <cellWatch r="I533"/>
    <cellWatch r="J533"/>
    <cellWatch r="K533"/>
    <cellWatch r="L533"/>
    <cellWatch r="M533"/>
    <cellWatch r="N533"/>
    <cellWatch r="A534"/>
    <cellWatch r="B534"/>
    <cellWatch r="C534"/>
    <cellWatch r="D534"/>
    <cellWatch r="E534"/>
    <cellWatch r="F534"/>
    <cellWatch r="G534"/>
    <cellWatch r="H534"/>
    <cellWatch r="I534"/>
    <cellWatch r="J534"/>
    <cellWatch r="K534"/>
    <cellWatch r="L534"/>
    <cellWatch r="M534"/>
    <cellWatch r="N534"/>
    <cellWatch r="A535"/>
    <cellWatch r="B535"/>
    <cellWatch r="C535"/>
    <cellWatch r="D535"/>
    <cellWatch r="E535"/>
    <cellWatch r="F535"/>
    <cellWatch r="G535"/>
    <cellWatch r="H535"/>
    <cellWatch r="I535"/>
    <cellWatch r="J535"/>
    <cellWatch r="K535"/>
    <cellWatch r="L535"/>
    <cellWatch r="M535"/>
    <cellWatch r="N535"/>
    <cellWatch r="A536"/>
    <cellWatch r="B536"/>
    <cellWatch r="C536"/>
    <cellWatch r="D536"/>
    <cellWatch r="E536"/>
    <cellWatch r="F536"/>
    <cellWatch r="G536"/>
    <cellWatch r="H536"/>
    <cellWatch r="I536"/>
    <cellWatch r="J536"/>
    <cellWatch r="K536"/>
    <cellWatch r="L536"/>
    <cellWatch r="M536"/>
    <cellWatch r="N536"/>
    <cellWatch r="A537"/>
    <cellWatch r="B537"/>
    <cellWatch r="C537"/>
    <cellWatch r="D537"/>
    <cellWatch r="E537"/>
    <cellWatch r="F537"/>
    <cellWatch r="G537"/>
    <cellWatch r="H537"/>
    <cellWatch r="I537"/>
    <cellWatch r="J537"/>
    <cellWatch r="K537"/>
    <cellWatch r="L537"/>
    <cellWatch r="M537"/>
    <cellWatch r="N537"/>
    <cellWatch r="A538"/>
    <cellWatch r="B538"/>
    <cellWatch r="C538"/>
    <cellWatch r="D538"/>
    <cellWatch r="E538"/>
    <cellWatch r="F538"/>
    <cellWatch r="G538"/>
    <cellWatch r="H538"/>
    <cellWatch r="I538"/>
    <cellWatch r="J538"/>
    <cellWatch r="K538"/>
    <cellWatch r="L538"/>
    <cellWatch r="M538"/>
    <cellWatch r="N538"/>
    <cellWatch r="A539"/>
    <cellWatch r="B539"/>
    <cellWatch r="C539"/>
    <cellWatch r="D539"/>
    <cellWatch r="E539"/>
    <cellWatch r="F539"/>
    <cellWatch r="G539"/>
    <cellWatch r="H539"/>
    <cellWatch r="I539"/>
    <cellWatch r="J539"/>
    <cellWatch r="K539"/>
    <cellWatch r="L539"/>
    <cellWatch r="M539"/>
    <cellWatch r="N539"/>
    <cellWatch r="A540"/>
    <cellWatch r="B540"/>
    <cellWatch r="C540"/>
    <cellWatch r="D540"/>
    <cellWatch r="E540"/>
    <cellWatch r="F540"/>
    <cellWatch r="G540"/>
    <cellWatch r="H540"/>
    <cellWatch r="I540"/>
    <cellWatch r="J540"/>
    <cellWatch r="K540"/>
    <cellWatch r="L540"/>
    <cellWatch r="M540"/>
    <cellWatch r="N540"/>
    <cellWatch r="A541"/>
    <cellWatch r="B541"/>
    <cellWatch r="C541"/>
    <cellWatch r="D541"/>
    <cellWatch r="E541"/>
    <cellWatch r="F541"/>
    <cellWatch r="G541"/>
    <cellWatch r="H541"/>
    <cellWatch r="I541"/>
    <cellWatch r="J541"/>
    <cellWatch r="K541"/>
    <cellWatch r="L541"/>
    <cellWatch r="M541"/>
    <cellWatch r="N541"/>
    <cellWatch r="A542"/>
    <cellWatch r="B542"/>
    <cellWatch r="C542"/>
    <cellWatch r="D542"/>
    <cellWatch r="E542"/>
    <cellWatch r="F542"/>
    <cellWatch r="G542"/>
    <cellWatch r="H542"/>
    <cellWatch r="I542"/>
    <cellWatch r="J542"/>
    <cellWatch r="K542"/>
    <cellWatch r="L542"/>
    <cellWatch r="M542"/>
    <cellWatch r="N542"/>
    <cellWatch r="A543"/>
    <cellWatch r="B543"/>
    <cellWatch r="C543"/>
    <cellWatch r="D543"/>
    <cellWatch r="E543"/>
    <cellWatch r="F543"/>
    <cellWatch r="G543"/>
    <cellWatch r="H543"/>
    <cellWatch r="I543"/>
    <cellWatch r="J543"/>
    <cellWatch r="K543"/>
    <cellWatch r="L543"/>
    <cellWatch r="M543"/>
    <cellWatch r="N543"/>
    <cellWatch r="A544"/>
    <cellWatch r="B544"/>
    <cellWatch r="C544"/>
    <cellWatch r="D544"/>
    <cellWatch r="E544"/>
    <cellWatch r="F544"/>
    <cellWatch r="G544"/>
    <cellWatch r="H544"/>
    <cellWatch r="I544"/>
    <cellWatch r="J544"/>
    <cellWatch r="K544"/>
    <cellWatch r="L544"/>
    <cellWatch r="M544"/>
    <cellWatch r="N544"/>
    <cellWatch r="A545"/>
    <cellWatch r="B545"/>
    <cellWatch r="C545"/>
    <cellWatch r="D545"/>
    <cellWatch r="E545"/>
    <cellWatch r="F545"/>
    <cellWatch r="G545"/>
    <cellWatch r="H545"/>
    <cellWatch r="I545"/>
    <cellWatch r="J545"/>
    <cellWatch r="K545"/>
    <cellWatch r="L545"/>
    <cellWatch r="M545"/>
    <cellWatch r="N545"/>
    <cellWatch r="A546"/>
    <cellWatch r="B546"/>
    <cellWatch r="C546"/>
    <cellWatch r="D546"/>
    <cellWatch r="E546"/>
    <cellWatch r="F546"/>
    <cellWatch r="G546"/>
    <cellWatch r="H546"/>
    <cellWatch r="I546"/>
    <cellWatch r="J546"/>
    <cellWatch r="K546"/>
    <cellWatch r="L546"/>
    <cellWatch r="M546"/>
    <cellWatch r="N546"/>
    <cellWatch r="A547"/>
    <cellWatch r="B547"/>
    <cellWatch r="C547"/>
    <cellWatch r="D547"/>
    <cellWatch r="E547"/>
    <cellWatch r="F547"/>
    <cellWatch r="G547"/>
    <cellWatch r="H547"/>
    <cellWatch r="I547"/>
    <cellWatch r="J547"/>
    <cellWatch r="K547"/>
    <cellWatch r="L547"/>
    <cellWatch r="M547"/>
    <cellWatch r="N547"/>
    <cellWatch r="A548"/>
    <cellWatch r="B548"/>
    <cellWatch r="C548"/>
    <cellWatch r="D548"/>
    <cellWatch r="E548"/>
    <cellWatch r="F548"/>
    <cellWatch r="G548"/>
    <cellWatch r="H548"/>
    <cellWatch r="I548"/>
    <cellWatch r="J548"/>
    <cellWatch r="K548"/>
    <cellWatch r="L548"/>
    <cellWatch r="M548"/>
    <cellWatch r="N548"/>
    <cellWatch r="A549"/>
    <cellWatch r="B549"/>
    <cellWatch r="C549"/>
    <cellWatch r="D549"/>
    <cellWatch r="E549"/>
    <cellWatch r="F549"/>
    <cellWatch r="G549"/>
    <cellWatch r="H549"/>
    <cellWatch r="I549"/>
    <cellWatch r="J549"/>
    <cellWatch r="K549"/>
    <cellWatch r="L549"/>
    <cellWatch r="M549"/>
    <cellWatch r="N549"/>
    <cellWatch r="A550"/>
    <cellWatch r="B550"/>
    <cellWatch r="C550"/>
    <cellWatch r="D550"/>
    <cellWatch r="E550"/>
    <cellWatch r="F550"/>
    <cellWatch r="G550"/>
    <cellWatch r="H550"/>
    <cellWatch r="I550"/>
    <cellWatch r="J550"/>
    <cellWatch r="K550"/>
    <cellWatch r="L550"/>
    <cellWatch r="M550"/>
    <cellWatch r="N550"/>
    <cellWatch r="A551"/>
    <cellWatch r="B551"/>
    <cellWatch r="C551"/>
    <cellWatch r="D551"/>
    <cellWatch r="E551"/>
    <cellWatch r="F551"/>
    <cellWatch r="G551"/>
    <cellWatch r="H551"/>
    <cellWatch r="I551"/>
    <cellWatch r="J551"/>
    <cellWatch r="K551"/>
    <cellWatch r="L551"/>
    <cellWatch r="M551"/>
    <cellWatch r="N551"/>
    <cellWatch r="A552"/>
    <cellWatch r="B552"/>
    <cellWatch r="C552"/>
    <cellWatch r="D552"/>
    <cellWatch r="E552"/>
    <cellWatch r="F552"/>
    <cellWatch r="G552"/>
    <cellWatch r="H552"/>
    <cellWatch r="I552"/>
    <cellWatch r="J552"/>
    <cellWatch r="K552"/>
    <cellWatch r="L552"/>
    <cellWatch r="M552"/>
    <cellWatch r="N552"/>
    <cellWatch r="A553"/>
    <cellWatch r="B553"/>
    <cellWatch r="C553"/>
    <cellWatch r="D553"/>
    <cellWatch r="E553"/>
    <cellWatch r="F553"/>
    <cellWatch r="G553"/>
    <cellWatch r="H553"/>
    <cellWatch r="I553"/>
    <cellWatch r="J553"/>
    <cellWatch r="K553"/>
    <cellWatch r="L553"/>
    <cellWatch r="M553"/>
    <cellWatch r="N553"/>
    <cellWatch r="A554"/>
    <cellWatch r="B554"/>
    <cellWatch r="C554"/>
    <cellWatch r="D554"/>
    <cellWatch r="E554"/>
    <cellWatch r="F554"/>
    <cellWatch r="G554"/>
    <cellWatch r="H554"/>
    <cellWatch r="I554"/>
    <cellWatch r="J554"/>
    <cellWatch r="K554"/>
    <cellWatch r="L554"/>
    <cellWatch r="M554"/>
    <cellWatch r="N554"/>
    <cellWatch r="A555"/>
    <cellWatch r="B555"/>
    <cellWatch r="C555"/>
    <cellWatch r="D555"/>
    <cellWatch r="E555"/>
    <cellWatch r="F555"/>
    <cellWatch r="G555"/>
    <cellWatch r="H555"/>
    <cellWatch r="I555"/>
    <cellWatch r="J555"/>
    <cellWatch r="K555"/>
    <cellWatch r="L555"/>
    <cellWatch r="M555"/>
    <cellWatch r="N555"/>
    <cellWatch r="A556"/>
    <cellWatch r="B556"/>
    <cellWatch r="C556"/>
    <cellWatch r="D556"/>
    <cellWatch r="E556"/>
    <cellWatch r="F556"/>
    <cellWatch r="G556"/>
    <cellWatch r="H556"/>
    <cellWatch r="I556"/>
    <cellWatch r="J556"/>
    <cellWatch r="K556"/>
    <cellWatch r="L556"/>
    <cellWatch r="M556"/>
    <cellWatch r="N556"/>
    <cellWatch r="A557"/>
    <cellWatch r="B557"/>
    <cellWatch r="C557"/>
    <cellWatch r="D557"/>
    <cellWatch r="E557"/>
    <cellWatch r="F557"/>
    <cellWatch r="G557"/>
    <cellWatch r="H557"/>
    <cellWatch r="I557"/>
    <cellWatch r="J557"/>
    <cellWatch r="K557"/>
    <cellWatch r="L557"/>
    <cellWatch r="M557"/>
    <cellWatch r="N557"/>
    <cellWatch r="A558"/>
    <cellWatch r="B558"/>
    <cellWatch r="C558"/>
    <cellWatch r="D558"/>
    <cellWatch r="E558"/>
    <cellWatch r="F558"/>
    <cellWatch r="G558"/>
    <cellWatch r="H558"/>
    <cellWatch r="I558"/>
    <cellWatch r="J558"/>
    <cellWatch r="K558"/>
    <cellWatch r="L558"/>
    <cellWatch r="M558"/>
    <cellWatch r="N558"/>
    <cellWatch r="A559"/>
    <cellWatch r="B559"/>
    <cellWatch r="C559"/>
    <cellWatch r="D559"/>
    <cellWatch r="E559"/>
    <cellWatch r="F559"/>
    <cellWatch r="G559"/>
    <cellWatch r="H559"/>
    <cellWatch r="I559"/>
    <cellWatch r="J559"/>
    <cellWatch r="K559"/>
    <cellWatch r="L559"/>
    <cellWatch r="M559"/>
    <cellWatch r="N559"/>
    <cellWatch r="A560"/>
    <cellWatch r="B560"/>
    <cellWatch r="C560"/>
    <cellWatch r="D560"/>
    <cellWatch r="E560"/>
    <cellWatch r="F560"/>
    <cellWatch r="G560"/>
    <cellWatch r="H560"/>
    <cellWatch r="I560"/>
    <cellWatch r="J560"/>
    <cellWatch r="K560"/>
    <cellWatch r="L560"/>
    <cellWatch r="M560"/>
    <cellWatch r="N560"/>
    <cellWatch r="A561"/>
    <cellWatch r="B561"/>
    <cellWatch r="C561"/>
    <cellWatch r="D561"/>
    <cellWatch r="E561"/>
    <cellWatch r="F561"/>
    <cellWatch r="G561"/>
    <cellWatch r="H561"/>
    <cellWatch r="I561"/>
    <cellWatch r="J561"/>
    <cellWatch r="K561"/>
    <cellWatch r="L561"/>
    <cellWatch r="M561"/>
    <cellWatch r="N561"/>
    <cellWatch r="A562"/>
    <cellWatch r="B562"/>
    <cellWatch r="C562"/>
    <cellWatch r="D562"/>
    <cellWatch r="E562"/>
    <cellWatch r="F562"/>
    <cellWatch r="G562"/>
    <cellWatch r="H562"/>
    <cellWatch r="I562"/>
    <cellWatch r="J562"/>
    <cellWatch r="K562"/>
    <cellWatch r="L562"/>
    <cellWatch r="M562"/>
    <cellWatch r="N562"/>
    <cellWatch r="A563"/>
    <cellWatch r="B563"/>
    <cellWatch r="C563"/>
    <cellWatch r="D563"/>
    <cellWatch r="E563"/>
    <cellWatch r="F563"/>
    <cellWatch r="G563"/>
    <cellWatch r="H563"/>
    <cellWatch r="I563"/>
    <cellWatch r="J563"/>
    <cellWatch r="K563"/>
    <cellWatch r="L563"/>
    <cellWatch r="M563"/>
    <cellWatch r="N563"/>
    <cellWatch r="A564"/>
    <cellWatch r="B564"/>
    <cellWatch r="C564"/>
    <cellWatch r="D564"/>
    <cellWatch r="E564"/>
    <cellWatch r="F564"/>
    <cellWatch r="G564"/>
    <cellWatch r="H564"/>
    <cellWatch r="I564"/>
    <cellWatch r="J564"/>
    <cellWatch r="K564"/>
    <cellWatch r="L564"/>
    <cellWatch r="M564"/>
    <cellWatch r="N564"/>
    <cellWatch r="A565"/>
    <cellWatch r="B565"/>
    <cellWatch r="C565"/>
    <cellWatch r="D565"/>
    <cellWatch r="E565"/>
    <cellWatch r="F565"/>
    <cellWatch r="G565"/>
    <cellWatch r="H565"/>
    <cellWatch r="I565"/>
    <cellWatch r="J565"/>
    <cellWatch r="K565"/>
    <cellWatch r="L565"/>
    <cellWatch r="M565"/>
    <cellWatch r="N565"/>
    <cellWatch r="A566"/>
    <cellWatch r="B566"/>
    <cellWatch r="C566"/>
    <cellWatch r="D566"/>
    <cellWatch r="E566"/>
    <cellWatch r="F566"/>
    <cellWatch r="G566"/>
    <cellWatch r="H566"/>
    <cellWatch r="I566"/>
    <cellWatch r="J566"/>
    <cellWatch r="K566"/>
    <cellWatch r="L566"/>
    <cellWatch r="M566"/>
    <cellWatch r="N566"/>
    <cellWatch r="A567"/>
    <cellWatch r="B567"/>
    <cellWatch r="C567"/>
    <cellWatch r="D567"/>
    <cellWatch r="E567"/>
    <cellWatch r="F567"/>
    <cellWatch r="G567"/>
    <cellWatch r="H567"/>
    <cellWatch r="I567"/>
    <cellWatch r="J567"/>
    <cellWatch r="K567"/>
    <cellWatch r="L567"/>
    <cellWatch r="M567"/>
    <cellWatch r="N567"/>
    <cellWatch r="A568"/>
    <cellWatch r="B568"/>
    <cellWatch r="C568"/>
    <cellWatch r="D568"/>
    <cellWatch r="E568"/>
    <cellWatch r="F568"/>
    <cellWatch r="G568"/>
    <cellWatch r="H568"/>
    <cellWatch r="I568"/>
    <cellWatch r="J568"/>
    <cellWatch r="K568"/>
    <cellWatch r="L568"/>
    <cellWatch r="M568"/>
    <cellWatch r="N568"/>
    <cellWatch r="A569"/>
    <cellWatch r="B569"/>
    <cellWatch r="C569"/>
    <cellWatch r="D569"/>
    <cellWatch r="E569"/>
    <cellWatch r="F569"/>
    <cellWatch r="G569"/>
    <cellWatch r="H569"/>
    <cellWatch r="I569"/>
    <cellWatch r="J569"/>
    <cellWatch r="K569"/>
    <cellWatch r="L569"/>
    <cellWatch r="M569"/>
    <cellWatch r="N569"/>
    <cellWatch r="A570"/>
    <cellWatch r="B570"/>
    <cellWatch r="C570"/>
    <cellWatch r="D570"/>
    <cellWatch r="E570"/>
    <cellWatch r="F570"/>
    <cellWatch r="G570"/>
    <cellWatch r="H570"/>
    <cellWatch r="I570"/>
    <cellWatch r="J570"/>
    <cellWatch r="K570"/>
    <cellWatch r="L570"/>
    <cellWatch r="M570"/>
    <cellWatch r="N570"/>
    <cellWatch r="A571"/>
    <cellWatch r="B571"/>
    <cellWatch r="C571"/>
    <cellWatch r="D571"/>
    <cellWatch r="E571"/>
    <cellWatch r="F571"/>
    <cellWatch r="G571"/>
    <cellWatch r="H571"/>
    <cellWatch r="I571"/>
    <cellWatch r="J571"/>
    <cellWatch r="K571"/>
    <cellWatch r="L571"/>
    <cellWatch r="M571"/>
    <cellWatch r="N571"/>
    <cellWatch r="A572"/>
    <cellWatch r="B572"/>
    <cellWatch r="C572"/>
    <cellWatch r="D572"/>
    <cellWatch r="E572"/>
    <cellWatch r="F572"/>
    <cellWatch r="G572"/>
    <cellWatch r="H572"/>
    <cellWatch r="I572"/>
    <cellWatch r="J572"/>
    <cellWatch r="K572"/>
    <cellWatch r="L572"/>
    <cellWatch r="M572"/>
    <cellWatch r="N572"/>
    <cellWatch r="A573"/>
    <cellWatch r="B573"/>
    <cellWatch r="C573"/>
    <cellWatch r="D573"/>
    <cellWatch r="E573"/>
    <cellWatch r="F573"/>
    <cellWatch r="G573"/>
    <cellWatch r="H573"/>
    <cellWatch r="I573"/>
    <cellWatch r="J573"/>
    <cellWatch r="K573"/>
    <cellWatch r="L573"/>
    <cellWatch r="M573"/>
    <cellWatch r="N573"/>
    <cellWatch r="A574"/>
    <cellWatch r="B574"/>
    <cellWatch r="C574"/>
    <cellWatch r="D574"/>
    <cellWatch r="E574"/>
    <cellWatch r="F574"/>
    <cellWatch r="G574"/>
    <cellWatch r="H574"/>
    <cellWatch r="I574"/>
    <cellWatch r="J574"/>
    <cellWatch r="K574"/>
    <cellWatch r="L574"/>
    <cellWatch r="M574"/>
    <cellWatch r="N574"/>
    <cellWatch r="A575"/>
    <cellWatch r="B575"/>
    <cellWatch r="C575"/>
    <cellWatch r="D575"/>
    <cellWatch r="E575"/>
    <cellWatch r="F575"/>
    <cellWatch r="G575"/>
    <cellWatch r="H575"/>
    <cellWatch r="I575"/>
    <cellWatch r="J575"/>
    <cellWatch r="K575"/>
    <cellWatch r="L575"/>
    <cellWatch r="M575"/>
    <cellWatch r="N575"/>
    <cellWatch r="A576"/>
    <cellWatch r="B576"/>
    <cellWatch r="C576"/>
    <cellWatch r="D576"/>
    <cellWatch r="E576"/>
    <cellWatch r="F576"/>
    <cellWatch r="G576"/>
    <cellWatch r="H576"/>
    <cellWatch r="I576"/>
    <cellWatch r="J576"/>
    <cellWatch r="K576"/>
    <cellWatch r="L576"/>
    <cellWatch r="M576"/>
    <cellWatch r="N576"/>
    <cellWatch r="A577"/>
    <cellWatch r="B577"/>
    <cellWatch r="C577"/>
    <cellWatch r="D577"/>
    <cellWatch r="E577"/>
    <cellWatch r="F577"/>
    <cellWatch r="G577"/>
    <cellWatch r="H577"/>
    <cellWatch r="I577"/>
    <cellWatch r="J577"/>
    <cellWatch r="K577"/>
    <cellWatch r="L577"/>
    <cellWatch r="M577"/>
    <cellWatch r="N577"/>
    <cellWatch r="A578"/>
    <cellWatch r="B578"/>
    <cellWatch r="C578"/>
    <cellWatch r="D578"/>
    <cellWatch r="E578"/>
    <cellWatch r="F578"/>
    <cellWatch r="G578"/>
    <cellWatch r="H578"/>
    <cellWatch r="I578"/>
    <cellWatch r="J578"/>
    <cellWatch r="K578"/>
    <cellWatch r="L578"/>
    <cellWatch r="M578"/>
    <cellWatch r="N578"/>
    <cellWatch r="A579"/>
    <cellWatch r="B579"/>
    <cellWatch r="C579"/>
    <cellWatch r="D579"/>
    <cellWatch r="E579"/>
    <cellWatch r="F579"/>
    <cellWatch r="G579"/>
    <cellWatch r="H579"/>
    <cellWatch r="I579"/>
    <cellWatch r="J579"/>
    <cellWatch r="K579"/>
    <cellWatch r="L579"/>
    <cellWatch r="M579"/>
    <cellWatch r="N579"/>
    <cellWatch r="A580"/>
    <cellWatch r="B580"/>
    <cellWatch r="C580"/>
    <cellWatch r="D580"/>
    <cellWatch r="E580"/>
    <cellWatch r="F580"/>
    <cellWatch r="G580"/>
    <cellWatch r="H580"/>
    <cellWatch r="I580"/>
    <cellWatch r="J580"/>
    <cellWatch r="K580"/>
    <cellWatch r="L580"/>
    <cellWatch r="M580"/>
    <cellWatch r="N580"/>
    <cellWatch r="A581"/>
    <cellWatch r="B581"/>
    <cellWatch r="C581"/>
    <cellWatch r="D581"/>
    <cellWatch r="E581"/>
    <cellWatch r="F581"/>
    <cellWatch r="G581"/>
    <cellWatch r="H581"/>
    <cellWatch r="I581"/>
    <cellWatch r="J581"/>
    <cellWatch r="K581"/>
    <cellWatch r="L581"/>
    <cellWatch r="M581"/>
    <cellWatch r="N581"/>
    <cellWatch r="A582"/>
    <cellWatch r="B582"/>
    <cellWatch r="C582"/>
    <cellWatch r="D582"/>
    <cellWatch r="E582"/>
    <cellWatch r="F582"/>
    <cellWatch r="G582"/>
    <cellWatch r="H582"/>
    <cellWatch r="I582"/>
    <cellWatch r="J582"/>
    <cellWatch r="K582"/>
    <cellWatch r="L582"/>
    <cellWatch r="M582"/>
    <cellWatch r="N582"/>
    <cellWatch r="A583"/>
    <cellWatch r="B583"/>
    <cellWatch r="C583"/>
    <cellWatch r="D583"/>
    <cellWatch r="E583"/>
    <cellWatch r="F583"/>
    <cellWatch r="G583"/>
    <cellWatch r="H583"/>
    <cellWatch r="I583"/>
    <cellWatch r="J583"/>
    <cellWatch r="K583"/>
    <cellWatch r="L583"/>
    <cellWatch r="M583"/>
    <cellWatch r="N583"/>
    <cellWatch r="A584"/>
    <cellWatch r="B584"/>
    <cellWatch r="C584"/>
    <cellWatch r="D584"/>
    <cellWatch r="E584"/>
    <cellWatch r="F584"/>
    <cellWatch r="G584"/>
    <cellWatch r="H584"/>
    <cellWatch r="I584"/>
    <cellWatch r="J584"/>
    <cellWatch r="K584"/>
    <cellWatch r="L584"/>
    <cellWatch r="M584"/>
    <cellWatch r="N584"/>
    <cellWatch r="A585"/>
    <cellWatch r="B585"/>
    <cellWatch r="C585"/>
    <cellWatch r="D585"/>
    <cellWatch r="E585"/>
    <cellWatch r="F585"/>
    <cellWatch r="G585"/>
    <cellWatch r="H585"/>
    <cellWatch r="I585"/>
    <cellWatch r="J585"/>
    <cellWatch r="K585"/>
    <cellWatch r="L585"/>
    <cellWatch r="M585"/>
    <cellWatch r="N585"/>
    <cellWatch r="A586"/>
    <cellWatch r="B586"/>
    <cellWatch r="C586"/>
    <cellWatch r="D586"/>
    <cellWatch r="E586"/>
    <cellWatch r="F586"/>
    <cellWatch r="G586"/>
    <cellWatch r="H586"/>
    <cellWatch r="I586"/>
    <cellWatch r="J586"/>
    <cellWatch r="K586"/>
    <cellWatch r="L586"/>
    <cellWatch r="M586"/>
    <cellWatch r="N586"/>
    <cellWatch r="A587"/>
    <cellWatch r="B587"/>
    <cellWatch r="C587"/>
    <cellWatch r="D587"/>
    <cellWatch r="E587"/>
    <cellWatch r="F587"/>
    <cellWatch r="G587"/>
    <cellWatch r="H587"/>
    <cellWatch r="I587"/>
    <cellWatch r="J587"/>
    <cellWatch r="K587"/>
    <cellWatch r="L587"/>
    <cellWatch r="M587"/>
    <cellWatch r="N587"/>
    <cellWatch r="A588"/>
    <cellWatch r="B588"/>
    <cellWatch r="C588"/>
    <cellWatch r="D588"/>
    <cellWatch r="E588"/>
    <cellWatch r="F588"/>
    <cellWatch r="G588"/>
    <cellWatch r="H588"/>
    <cellWatch r="I588"/>
    <cellWatch r="J588"/>
    <cellWatch r="K588"/>
    <cellWatch r="L588"/>
    <cellWatch r="M588"/>
    <cellWatch r="N588"/>
    <cellWatch r="A589"/>
    <cellWatch r="B589"/>
    <cellWatch r="C589"/>
    <cellWatch r="D589"/>
    <cellWatch r="E589"/>
    <cellWatch r="F589"/>
    <cellWatch r="G589"/>
    <cellWatch r="H589"/>
    <cellWatch r="I589"/>
    <cellWatch r="J589"/>
    <cellWatch r="K589"/>
    <cellWatch r="L589"/>
    <cellWatch r="M589"/>
    <cellWatch r="N589"/>
    <cellWatch r="A590"/>
    <cellWatch r="B590"/>
    <cellWatch r="C590"/>
    <cellWatch r="D590"/>
    <cellWatch r="E590"/>
    <cellWatch r="F590"/>
    <cellWatch r="G590"/>
    <cellWatch r="H590"/>
    <cellWatch r="I590"/>
    <cellWatch r="J590"/>
    <cellWatch r="K590"/>
    <cellWatch r="L590"/>
    <cellWatch r="M590"/>
    <cellWatch r="N590"/>
    <cellWatch r="A591"/>
    <cellWatch r="B591"/>
    <cellWatch r="C591"/>
    <cellWatch r="D591"/>
    <cellWatch r="E591"/>
    <cellWatch r="F591"/>
    <cellWatch r="G591"/>
    <cellWatch r="H591"/>
    <cellWatch r="I591"/>
    <cellWatch r="J591"/>
    <cellWatch r="K591"/>
    <cellWatch r="L591"/>
    <cellWatch r="M591"/>
    <cellWatch r="N591"/>
    <cellWatch r="A592"/>
    <cellWatch r="B592"/>
    <cellWatch r="C592"/>
    <cellWatch r="D592"/>
    <cellWatch r="E592"/>
    <cellWatch r="F592"/>
    <cellWatch r="G592"/>
    <cellWatch r="H592"/>
    <cellWatch r="I592"/>
    <cellWatch r="J592"/>
    <cellWatch r="K592"/>
    <cellWatch r="L592"/>
    <cellWatch r="M592"/>
    <cellWatch r="N592"/>
    <cellWatch r="A593"/>
    <cellWatch r="B593"/>
    <cellWatch r="C593"/>
    <cellWatch r="D593"/>
    <cellWatch r="E593"/>
    <cellWatch r="F593"/>
    <cellWatch r="G593"/>
    <cellWatch r="H593"/>
    <cellWatch r="I593"/>
    <cellWatch r="J593"/>
    <cellWatch r="K593"/>
    <cellWatch r="L593"/>
    <cellWatch r="M593"/>
    <cellWatch r="N593"/>
    <cellWatch r="A594"/>
    <cellWatch r="B594"/>
    <cellWatch r="C594"/>
    <cellWatch r="D594"/>
    <cellWatch r="E594"/>
    <cellWatch r="F594"/>
    <cellWatch r="G594"/>
    <cellWatch r="H594"/>
    <cellWatch r="I594"/>
    <cellWatch r="J594"/>
    <cellWatch r="K594"/>
    <cellWatch r="L594"/>
    <cellWatch r="M594"/>
    <cellWatch r="N594"/>
    <cellWatch r="A595"/>
    <cellWatch r="B595"/>
    <cellWatch r="C595"/>
    <cellWatch r="D595"/>
    <cellWatch r="E595"/>
    <cellWatch r="F595"/>
    <cellWatch r="G595"/>
    <cellWatch r="H595"/>
    <cellWatch r="I595"/>
    <cellWatch r="J595"/>
    <cellWatch r="K595"/>
    <cellWatch r="L595"/>
    <cellWatch r="M595"/>
    <cellWatch r="N595"/>
    <cellWatch r="A596"/>
    <cellWatch r="B596"/>
    <cellWatch r="C596"/>
    <cellWatch r="D596"/>
    <cellWatch r="E596"/>
    <cellWatch r="F596"/>
    <cellWatch r="G596"/>
    <cellWatch r="H596"/>
    <cellWatch r="I596"/>
    <cellWatch r="J596"/>
    <cellWatch r="K596"/>
    <cellWatch r="L596"/>
    <cellWatch r="M596"/>
    <cellWatch r="N596"/>
    <cellWatch r="A597"/>
    <cellWatch r="B597"/>
    <cellWatch r="C597"/>
    <cellWatch r="D597"/>
    <cellWatch r="E597"/>
    <cellWatch r="F597"/>
    <cellWatch r="G597"/>
    <cellWatch r="H597"/>
    <cellWatch r="I597"/>
    <cellWatch r="J597"/>
    <cellWatch r="K597"/>
    <cellWatch r="L597"/>
    <cellWatch r="M597"/>
    <cellWatch r="N597"/>
    <cellWatch r="A598"/>
    <cellWatch r="B598"/>
    <cellWatch r="C598"/>
    <cellWatch r="D598"/>
    <cellWatch r="E598"/>
    <cellWatch r="F598"/>
    <cellWatch r="G598"/>
    <cellWatch r="H598"/>
    <cellWatch r="I598"/>
    <cellWatch r="J598"/>
    <cellWatch r="K598"/>
    <cellWatch r="L598"/>
    <cellWatch r="M598"/>
    <cellWatch r="N598"/>
    <cellWatch r="A599"/>
    <cellWatch r="B599"/>
    <cellWatch r="C599"/>
    <cellWatch r="D599"/>
    <cellWatch r="E599"/>
    <cellWatch r="F599"/>
    <cellWatch r="G599"/>
    <cellWatch r="H599"/>
    <cellWatch r="I599"/>
    <cellWatch r="J599"/>
    <cellWatch r="K599"/>
    <cellWatch r="L599"/>
    <cellWatch r="M599"/>
    <cellWatch r="N599"/>
    <cellWatch r="A600"/>
    <cellWatch r="B600"/>
    <cellWatch r="C600"/>
    <cellWatch r="D600"/>
    <cellWatch r="E600"/>
    <cellWatch r="F600"/>
    <cellWatch r="G600"/>
    <cellWatch r="H600"/>
    <cellWatch r="I600"/>
    <cellWatch r="J600"/>
    <cellWatch r="K600"/>
    <cellWatch r="L600"/>
    <cellWatch r="M600"/>
    <cellWatch r="N600"/>
    <cellWatch r="A601"/>
    <cellWatch r="B601"/>
    <cellWatch r="C601"/>
    <cellWatch r="D601"/>
    <cellWatch r="E601"/>
    <cellWatch r="F601"/>
    <cellWatch r="G601"/>
    <cellWatch r="H601"/>
    <cellWatch r="I601"/>
    <cellWatch r="J601"/>
    <cellWatch r="K601"/>
    <cellWatch r="L601"/>
    <cellWatch r="M601"/>
    <cellWatch r="N601"/>
    <cellWatch r="A602"/>
    <cellWatch r="B602"/>
    <cellWatch r="C602"/>
    <cellWatch r="D602"/>
    <cellWatch r="E602"/>
    <cellWatch r="F602"/>
    <cellWatch r="G602"/>
    <cellWatch r="H602"/>
    <cellWatch r="I602"/>
    <cellWatch r="J602"/>
    <cellWatch r="K602"/>
    <cellWatch r="L602"/>
    <cellWatch r="M602"/>
    <cellWatch r="N602"/>
    <cellWatch r="A603"/>
    <cellWatch r="B603"/>
    <cellWatch r="C603"/>
    <cellWatch r="D603"/>
    <cellWatch r="E603"/>
    <cellWatch r="F603"/>
    <cellWatch r="G603"/>
    <cellWatch r="H603"/>
    <cellWatch r="I603"/>
    <cellWatch r="J603"/>
    <cellWatch r="K603"/>
    <cellWatch r="L603"/>
    <cellWatch r="M603"/>
    <cellWatch r="N603"/>
    <cellWatch r="A604"/>
    <cellWatch r="B604"/>
    <cellWatch r="C604"/>
    <cellWatch r="D604"/>
    <cellWatch r="E604"/>
    <cellWatch r="F604"/>
    <cellWatch r="G604"/>
    <cellWatch r="H604"/>
    <cellWatch r="I604"/>
    <cellWatch r="J604"/>
    <cellWatch r="K604"/>
    <cellWatch r="L604"/>
    <cellWatch r="M604"/>
    <cellWatch r="N604"/>
    <cellWatch r="A605"/>
    <cellWatch r="B605"/>
    <cellWatch r="C605"/>
    <cellWatch r="D605"/>
    <cellWatch r="E605"/>
    <cellWatch r="F605"/>
    <cellWatch r="G605"/>
    <cellWatch r="H605"/>
    <cellWatch r="I605"/>
    <cellWatch r="J605"/>
    <cellWatch r="K605"/>
    <cellWatch r="L605"/>
    <cellWatch r="M605"/>
    <cellWatch r="N605"/>
    <cellWatch r="A606"/>
    <cellWatch r="B606"/>
    <cellWatch r="C606"/>
    <cellWatch r="D606"/>
    <cellWatch r="E606"/>
    <cellWatch r="F606"/>
    <cellWatch r="G606"/>
    <cellWatch r="H606"/>
    <cellWatch r="I606"/>
    <cellWatch r="J606"/>
    <cellWatch r="K606"/>
    <cellWatch r="L606"/>
    <cellWatch r="M606"/>
    <cellWatch r="N606"/>
    <cellWatch r="A607"/>
    <cellWatch r="B607"/>
    <cellWatch r="C607"/>
    <cellWatch r="D607"/>
    <cellWatch r="E607"/>
    <cellWatch r="F607"/>
    <cellWatch r="G607"/>
    <cellWatch r="H607"/>
    <cellWatch r="I607"/>
    <cellWatch r="J607"/>
    <cellWatch r="K607"/>
    <cellWatch r="L607"/>
    <cellWatch r="M607"/>
    <cellWatch r="N607"/>
    <cellWatch r="A608"/>
    <cellWatch r="B608"/>
    <cellWatch r="C608"/>
    <cellWatch r="D608"/>
    <cellWatch r="E608"/>
    <cellWatch r="F608"/>
    <cellWatch r="G608"/>
    <cellWatch r="H608"/>
    <cellWatch r="I608"/>
    <cellWatch r="J608"/>
    <cellWatch r="K608"/>
    <cellWatch r="L608"/>
    <cellWatch r="M608"/>
    <cellWatch r="N608"/>
    <cellWatch r="A609"/>
    <cellWatch r="B609"/>
    <cellWatch r="C609"/>
    <cellWatch r="D609"/>
    <cellWatch r="E609"/>
    <cellWatch r="F609"/>
    <cellWatch r="G609"/>
    <cellWatch r="H609"/>
    <cellWatch r="I609"/>
    <cellWatch r="J609"/>
    <cellWatch r="K609"/>
    <cellWatch r="L609"/>
    <cellWatch r="M609"/>
    <cellWatch r="N609"/>
    <cellWatch r="A610"/>
    <cellWatch r="B610"/>
    <cellWatch r="C610"/>
    <cellWatch r="D610"/>
    <cellWatch r="E610"/>
    <cellWatch r="F610"/>
    <cellWatch r="G610"/>
    <cellWatch r="H610"/>
    <cellWatch r="I610"/>
    <cellWatch r="J610"/>
    <cellWatch r="K610"/>
    <cellWatch r="L610"/>
    <cellWatch r="M610"/>
    <cellWatch r="N610"/>
    <cellWatch r="A611"/>
    <cellWatch r="B611"/>
    <cellWatch r="C611"/>
    <cellWatch r="D611"/>
    <cellWatch r="E611"/>
    <cellWatch r="F611"/>
    <cellWatch r="G611"/>
    <cellWatch r="H611"/>
    <cellWatch r="I611"/>
    <cellWatch r="J611"/>
    <cellWatch r="K611"/>
    <cellWatch r="L611"/>
    <cellWatch r="M611"/>
    <cellWatch r="N611"/>
    <cellWatch r="A612"/>
    <cellWatch r="B612"/>
    <cellWatch r="C612"/>
    <cellWatch r="D612"/>
    <cellWatch r="E612"/>
    <cellWatch r="F612"/>
    <cellWatch r="G612"/>
    <cellWatch r="H612"/>
    <cellWatch r="I612"/>
    <cellWatch r="J612"/>
    <cellWatch r="K612"/>
    <cellWatch r="L612"/>
    <cellWatch r="M612"/>
    <cellWatch r="N612"/>
    <cellWatch r="A613"/>
    <cellWatch r="B613"/>
    <cellWatch r="C613"/>
    <cellWatch r="D613"/>
    <cellWatch r="E613"/>
    <cellWatch r="F613"/>
    <cellWatch r="G613"/>
    <cellWatch r="H613"/>
    <cellWatch r="I613"/>
    <cellWatch r="J613"/>
    <cellWatch r="K613"/>
    <cellWatch r="L613"/>
    <cellWatch r="M613"/>
    <cellWatch r="N613"/>
    <cellWatch r="A614"/>
    <cellWatch r="B614"/>
    <cellWatch r="C614"/>
    <cellWatch r="D614"/>
    <cellWatch r="E614"/>
    <cellWatch r="F614"/>
    <cellWatch r="G614"/>
    <cellWatch r="H614"/>
    <cellWatch r="I614"/>
    <cellWatch r="J614"/>
    <cellWatch r="K614"/>
    <cellWatch r="L614"/>
    <cellWatch r="M614"/>
    <cellWatch r="N614"/>
    <cellWatch r="A615"/>
    <cellWatch r="B615"/>
    <cellWatch r="C615"/>
    <cellWatch r="D615"/>
    <cellWatch r="E615"/>
    <cellWatch r="F615"/>
    <cellWatch r="G615"/>
    <cellWatch r="H615"/>
    <cellWatch r="I615"/>
    <cellWatch r="J615"/>
    <cellWatch r="K615"/>
    <cellWatch r="L615"/>
    <cellWatch r="M615"/>
    <cellWatch r="N615"/>
    <cellWatch r="A616"/>
    <cellWatch r="B616"/>
    <cellWatch r="C616"/>
    <cellWatch r="D616"/>
    <cellWatch r="E616"/>
    <cellWatch r="F616"/>
    <cellWatch r="G616"/>
    <cellWatch r="H616"/>
    <cellWatch r="I616"/>
    <cellWatch r="J616"/>
    <cellWatch r="K616"/>
    <cellWatch r="L616"/>
    <cellWatch r="M616"/>
    <cellWatch r="N616"/>
    <cellWatch r="A617"/>
    <cellWatch r="B617"/>
    <cellWatch r="C617"/>
    <cellWatch r="D617"/>
    <cellWatch r="E617"/>
    <cellWatch r="F617"/>
    <cellWatch r="G617"/>
    <cellWatch r="H617"/>
    <cellWatch r="I617"/>
    <cellWatch r="J617"/>
    <cellWatch r="K617"/>
    <cellWatch r="L617"/>
    <cellWatch r="M617"/>
    <cellWatch r="N617"/>
    <cellWatch r="A618"/>
    <cellWatch r="B618"/>
    <cellWatch r="C618"/>
    <cellWatch r="D618"/>
    <cellWatch r="E618"/>
    <cellWatch r="F618"/>
    <cellWatch r="G618"/>
    <cellWatch r="H618"/>
    <cellWatch r="I618"/>
    <cellWatch r="J618"/>
    <cellWatch r="K618"/>
    <cellWatch r="L618"/>
    <cellWatch r="M618"/>
    <cellWatch r="N618"/>
    <cellWatch r="A619"/>
    <cellWatch r="B619"/>
    <cellWatch r="C619"/>
    <cellWatch r="D619"/>
    <cellWatch r="E619"/>
    <cellWatch r="F619"/>
    <cellWatch r="G619"/>
    <cellWatch r="H619"/>
    <cellWatch r="I619"/>
    <cellWatch r="J619"/>
    <cellWatch r="K619"/>
    <cellWatch r="L619"/>
    <cellWatch r="M619"/>
    <cellWatch r="N619"/>
    <cellWatch r="A620"/>
    <cellWatch r="B620"/>
    <cellWatch r="C620"/>
    <cellWatch r="D620"/>
    <cellWatch r="E620"/>
    <cellWatch r="F620"/>
    <cellWatch r="G620"/>
    <cellWatch r="H620"/>
    <cellWatch r="I620"/>
    <cellWatch r="J620"/>
    <cellWatch r="K620"/>
    <cellWatch r="L620"/>
    <cellWatch r="M620"/>
    <cellWatch r="N620"/>
    <cellWatch r="A621"/>
    <cellWatch r="B621"/>
    <cellWatch r="C621"/>
    <cellWatch r="D621"/>
    <cellWatch r="E621"/>
    <cellWatch r="F621"/>
    <cellWatch r="G621"/>
    <cellWatch r="H621"/>
    <cellWatch r="I621"/>
    <cellWatch r="J621"/>
    <cellWatch r="K621"/>
    <cellWatch r="L621"/>
    <cellWatch r="M621"/>
    <cellWatch r="N621"/>
    <cellWatch r="A622"/>
    <cellWatch r="B622"/>
    <cellWatch r="C622"/>
    <cellWatch r="D622"/>
    <cellWatch r="E622"/>
    <cellWatch r="F622"/>
    <cellWatch r="G622"/>
    <cellWatch r="H622"/>
    <cellWatch r="I622"/>
    <cellWatch r="J622"/>
    <cellWatch r="K622"/>
    <cellWatch r="L622"/>
    <cellWatch r="M622"/>
    <cellWatch r="N622"/>
    <cellWatch r="A623"/>
    <cellWatch r="B623"/>
    <cellWatch r="C623"/>
    <cellWatch r="D623"/>
    <cellWatch r="E623"/>
    <cellWatch r="F623"/>
    <cellWatch r="G623"/>
    <cellWatch r="H623"/>
    <cellWatch r="I623"/>
    <cellWatch r="J623"/>
    <cellWatch r="K623"/>
    <cellWatch r="L623"/>
    <cellWatch r="M623"/>
    <cellWatch r="N623"/>
    <cellWatch r="A624"/>
    <cellWatch r="B624"/>
    <cellWatch r="C624"/>
    <cellWatch r="D624"/>
    <cellWatch r="E624"/>
    <cellWatch r="F624"/>
    <cellWatch r="G624"/>
    <cellWatch r="H624"/>
    <cellWatch r="I624"/>
    <cellWatch r="J624"/>
    <cellWatch r="K624"/>
    <cellWatch r="L624"/>
    <cellWatch r="M624"/>
    <cellWatch r="N624"/>
    <cellWatch r="A625"/>
    <cellWatch r="B625"/>
    <cellWatch r="C625"/>
    <cellWatch r="D625"/>
    <cellWatch r="E625"/>
    <cellWatch r="F625"/>
    <cellWatch r="G625"/>
    <cellWatch r="H625"/>
    <cellWatch r="I625"/>
    <cellWatch r="J625"/>
    <cellWatch r="K625"/>
    <cellWatch r="L625"/>
    <cellWatch r="M625"/>
    <cellWatch r="N625"/>
    <cellWatch r="A626"/>
    <cellWatch r="B626"/>
    <cellWatch r="C626"/>
    <cellWatch r="D626"/>
    <cellWatch r="E626"/>
    <cellWatch r="F626"/>
    <cellWatch r="G626"/>
    <cellWatch r="H626"/>
    <cellWatch r="I626"/>
    <cellWatch r="J626"/>
    <cellWatch r="K626"/>
    <cellWatch r="L626"/>
    <cellWatch r="M626"/>
    <cellWatch r="N626"/>
    <cellWatch r="A627"/>
    <cellWatch r="B627"/>
    <cellWatch r="C627"/>
    <cellWatch r="D627"/>
    <cellWatch r="E627"/>
    <cellWatch r="F627"/>
    <cellWatch r="G627"/>
    <cellWatch r="H627"/>
    <cellWatch r="I627"/>
    <cellWatch r="J627"/>
    <cellWatch r="K627"/>
    <cellWatch r="L627"/>
    <cellWatch r="M627"/>
    <cellWatch r="N627"/>
    <cellWatch r="A628"/>
    <cellWatch r="B628"/>
    <cellWatch r="C628"/>
    <cellWatch r="D628"/>
    <cellWatch r="E628"/>
    <cellWatch r="F628"/>
    <cellWatch r="G628"/>
    <cellWatch r="H628"/>
    <cellWatch r="I628"/>
    <cellWatch r="J628"/>
    <cellWatch r="K628"/>
    <cellWatch r="L628"/>
    <cellWatch r="M628"/>
    <cellWatch r="N628"/>
    <cellWatch r="A629"/>
    <cellWatch r="B629"/>
    <cellWatch r="C629"/>
    <cellWatch r="D629"/>
    <cellWatch r="E629"/>
    <cellWatch r="F629"/>
    <cellWatch r="G629"/>
    <cellWatch r="H629"/>
    <cellWatch r="I629"/>
    <cellWatch r="J629"/>
    <cellWatch r="K629"/>
    <cellWatch r="L629"/>
    <cellWatch r="M629"/>
    <cellWatch r="N629"/>
    <cellWatch r="A630"/>
    <cellWatch r="B630"/>
    <cellWatch r="C630"/>
    <cellWatch r="D630"/>
    <cellWatch r="E630"/>
    <cellWatch r="F630"/>
    <cellWatch r="G630"/>
    <cellWatch r="H630"/>
    <cellWatch r="I630"/>
    <cellWatch r="J630"/>
    <cellWatch r="K630"/>
    <cellWatch r="L630"/>
    <cellWatch r="M630"/>
    <cellWatch r="N630"/>
    <cellWatch r="A631"/>
    <cellWatch r="B631"/>
    <cellWatch r="C631"/>
    <cellWatch r="D631"/>
    <cellWatch r="E631"/>
    <cellWatch r="F631"/>
    <cellWatch r="G631"/>
    <cellWatch r="H631"/>
    <cellWatch r="I631"/>
    <cellWatch r="J631"/>
    <cellWatch r="K631"/>
    <cellWatch r="L631"/>
    <cellWatch r="M631"/>
    <cellWatch r="N631"/>
    <cellWatch r="A632"/>
    <cellWatch r="B632"/>
    <cellWatch r="C632"/>
    <cellWatch r="D632"/>
    <cellWatch r="E632"/>
    <cellWatch r="F632"/>
    <cellWatch r="G632"/>
    <cellWatch r="H632"/>
    <cellWatch r="I632"/>
    <cellWatch r="J632"/>
    <cellWatch r="K632"/>
    <cellWatch r="L632"/>
    <cellWatch r="M632"/>
    <cellWatch r="N632"/>
    <cellWatch r="A633"/>
    <cellWatch r="B633"/>
    <cellWatch r="C633"/>
    <cellWatch r="D633"/>
    <cellWatch r="E633"/>
    <cellWatch r="F633"/>
    <cellWatch r="G633"/>
    <cellWatch r="H633"/>
    <cellWatch r="I633"/>
    <cellWatch r="J633"/>
    <cellWatch r="K633"/>
    <cellWatch r="L633"/>
    <cellWatch r="M633"/>
    <cellWatch r="N633"/>
    <cellWatch r="A634"/>
    <cellWatch r="B634"/>
    <cellWatch r="C634"/>
    <cellWatch r="D634"/>
    <cellWatch r="E634"/>
    <cellWatch r="F634"/>
    <cellWatch r="G634"/>
    <cellWatch r="H634"/>
    <cellWatch r="I634"/>
    <cellWatch r="J634"/>
    <cellWatch r="K634"/>
    <cellWatch r="L634"/>
    <cellWatch r="M634"/>
    <cellWatch r="N634"/>
    <cellWatch r="A635"/>
    <cellWatch r="B635"/>
    <cellWatch r="C635"/>
    <cellWatch r="D635"/>
    <cellWatch r="E635"/>
    <cellWatch r="F635"/>
    <cellWatch r="G635"/>
    <cellWatch r="H635"/>
    <cellWatch r="I635"/>
    <cellWatch r="J635"/>
    <cellWatch r="K635"/>
    <cellWatch r="L635"/>
    <cellWatch r="M635"/>
    <cellWatch r="N635"/>
    <cellWatch r="A636"/>
    <cellWatch r="B636"/>
    <cellWatch r="C636"/>
    <cellWatch r="D636"/>
    <cellWatch r="E636"/>
    <cellWatch r="F636"/>
    <cellWatch r="G636"/>
    <cellWatch r="H636"/>
    <cellWatch r="I636"/>
    <cellWatch r="J636"/>
    <cellWatch r="K636"/>
    <cellWatch r="L636"/>
    <cellWatch r="M636"/>
    <cellWatch r="N636"/>
    <cellWatch r="A637"/>
    <cellWatch r="B637"/>
    <cellWatch r="C637"/>
    <cellWatch r="D637"/>
    <cellWatch r="E637"/>
    <cellWatch r="F637"/>
    <cellWatch r="G637"/>
    <cellWatch r="H637"/>
    <cellWatch r="I637"/>
    <cellWatch r="J637"/>
    <cellWatch r="K637"/>
    <cellWatch r="L637"/>
    <cellWatch r="M637"/>
    <cellWatch r="N637"/>
    <cellWatch r="A638"/>
    <cellWatch r="B638"/>
    <cellWatch r="C638"/>
    <cellWatch r="D638"/>
    <cellWatch r="E638"/>
    <cellWatch r="F638"/>
    <cellWatch r="G638"/>
    <cellWatch r="H638"/>
    <cellWatch r="I638"/>
    <cellWatch r="J638"/>
    <cellWatch r="K638"/>
    <cellWatch r="L638"/>
    <cellWatch r="M638"/>
    <cellWatch r="N638"/>
    <cellWatch r="A639"/>
    <cellWatch r="B639"/>
    <cellWatch r="C639"/>
    <cellWatch r="D639"/>
    <cellWatch r="E639"/>
    <cellWatch r="F639"/>
    <cellWatch r="G639"/>
    <cellWatch r="H639"/>
    <cellWatch r="I639"/>
    <cellWatch r="J639"/>
    <cellWatch r="K639"/>
    <cellWatch r="L639"/>
    <cellWatch r="M639"/>
    <cellWatch r="N639"/>
    <cellWatch r="A640"/>
    <cellWatch r="B640"/>
    <cellWatch r="C640"/>
    <cellWatch r="D640"/>
    <cellWatch r="E640"/>
    <cellWatch r="F640"/>
    <cellWatch r="G640"/>
    <cellWatch r="H640"/>
    <cellWatch r="I640"/>
    <cellWatch r="J640"/>
    <cellWatch r="K640"/>
    <cellWatch r="L640"/>
    <cellWatch r="M640"/>
    <cellWatch r="N640"/>
    <cellWatch r="A641"/>
    <cellWatch r="B641"/>
    <cellWatch r="C641"/>
    <cellWatch r="D641"/>
    <cellWatch r="E641"/>
    <cellWatch r="F641"/>
    <cellWatch r="G641"/>
    <cellWatch r="H641"/>
    <cellWatch r="I641"/>
    <cellWatch r="J641"/>
    <cellWatch r="K641"/>
    <cellWatch r="L641"/>
    <cellWatch r="M641"/>
    <cellWatch r="N641"/>
    <cellWatch r="A642"/>
    <cellWatch r="B642"/>
    <cellWatch r="C642"/>
    <cellWatch r="D642"/>
    <cellWatch r="E642"/>
    <cellWatch r="F642"/>
    <cellWatch r="G642"/>
    <cellWatch r="H642"/>
    <cellWatch r="I642"/>
    <cellWatch r="J642"/>
    <cellWatch r="K642"/>
    <cellWatch r="L642"/>
    <cellWatch r="M642"/>
    <cellWatch r="N642"/>
    <cellWatch r="A643"/>
    <cellWatch r="B643"/>
    <cellWatch r="C643"/>
    <cellWatch r="D643"/>
    <cellWatch r="E643"/>
    <cellWatch r="F643"/>
    <cellWatch r="G643"/>
    <cellWatch r="H643"/>
    <cellWatch r="I643"/>
    <cellWatch r="J643"/>
    <cellWatch r="K643"/>
    <cellWatch r="L643"/>
    <cellWatch r="M643"/>
    <cellWatch r="N643"/>
    <cellWatch r="A644"/>
    <cellWatch r="B644"/>
    <cellWatch r="C644"/>
    <cellWatch r="D644"/>
    <cellWatch r="E644"/>
    <cellWatch r="F644"/>
    <cellWatch r="G644"/>
    <cellWatch r="H644"/>
    <cellWatch r="I644"/>
    <cellWatch r="J644"/>
    <cellWatch r="K644"/>
    <cellWatch r="L644"/>
    <cellWatch r="M644"/>
    <cellWatch r="N644"/>
    <cellWatch r="A645"/>
    <cellWatch r="B645"/>
    <cellWatch r="C645"/>
    <cellWatch r="D645"/>
    <cellWatch r="E645"/>
    <cellWatch r="F645"/>
    <cellWatch r="G645"/>
    <cellWatch r="H645"/>
    <cellWatch r="I645"/>
    <cellWatch r="J645"/>
    <cellWatch r="K645"/>
    <cellWatch r="L645"/>
    <cellWatch r="M645"/>
    <cellWatch r="N645"/>
    <cellWatch r="A646"/>
    <cellWatch r="B646"/>
    <cellWatch r="C646"/>
    <cellWatch r="D646"/>
    <cellWatch r="E646"/>
    <cellWatch r="F646"/>
    <cellWatch r="G646"/>
    <cellWatch r="H646"/>
    <cellWatch r="I646"/>
    <cellWatch r="J646"/>
    <cellWatch r="K646"/>
    <cellWatch r="L646"/>
    <cellWatch r="M646"/>
    <cellWatch r="N646"/>
    <cellWatch r="A647"/>
    <cellWatch r="B647"/>
    <cellWatch r="C647"/>
    <cellWatch r="D647"/>
    <cellWatch r="E647"/>
    <cellWatch r="F647"/>
    <cellWatch r="G647"/>
    <cellWatch r="H647"/>
    <cellWatch r="I647"/>
    <cellWatch r="J647"/>
    <cellWatch r="K647"/>
    <cellWatch r="L647"/>
    <cellWatch r="M647"/>
    <cellWatch r="N647"/>
    <cellWatch r="A648"/>
    <cellWatch r="B648"/>
    <cellWatch r="C648"/>
    <cellWatch r="D648"/>
    <cellWatch r="E648"/>
    <cellWatch r="F648"/>
    <cellWatch r="G648"/>
    <cellWatch r="H648"/>
    <cellWatch r="I648"/>
    <cellWatch r="J648"/>
    <cellWatch r="K648"/>
    <cellWatch r="L648"/>
    <cellWatch r="M648"/>
    <cellWatch r="N648"/>
    <cellWatch r="A649"/>
    <cellWatch r="B649"/>
    <cellWatch r="C649"/>
    <cellWatch r="D649"/>
    <cellWatch r="E649"/>
    <cellWatch r="F649"/>
    <cellWatch r="G649"/>
    <cellWatch r="H649"/>
    <cellWatch r="I649"/>
    <cellWatch r="J649"/>
    <cellWatch r="K649"/>
    <cellWatch r="L649"/>
    <cellWatch r="M649"/>
    <cellWatch r="N649"/>
    <cellWatch r="A650"/>
    <cellWatch r="B650"/>
    <cellWatch r="C650"/>
    <cellWatch r="D650"/>
    <cellWatch r="E650"/>
    <cellWatch r="F650"/>
    <cellWatch r="G650"/>
    <cellWatch r="H650"/>
    <cellWatch r="I650"/>
    <cellWatch r="J650"/>
    <cellWatch r="K650"/>
    <cellWatch r="L650"/>
    <cellWatch r="M650"/>
    <cellWatch r="N650"/>
    <cellWatch r="A651"/>
    <cellWatch r="B651"/>
    <cellWatch r="C651"/>
    <cellWatch r="D651"/>
    <cellWatch r="E651"/>
    <cellWatch r="F651"/>
    <cellWatch r="G651"/>
    <cellWatch r="H651"/>
    <cellWatch r="I651"/>
    <cellWatch r="J651"/>
    <cellWatch r="K651"/>
    <cellWatch r="L651"/>
    <cellWatch r="M651"/>
    <cellWatch r="N651"/>
    <cellWatch r="A652"/>
    <cellWatch r="B652"/>
    <cellWatch r="C652"/>
    <cellWatch r="D652"/>
    <cellWatch r="E652"/>
    <cellWatch r="F652"/>
    <cellWatch r="G652"/>
    <cellWatch r="H652"/>
    <cellWatch r="I652"/>
    <cellWatch r="J652"/>
    <cellWatch r="K652"/>
    <cellWatch r="L652"/>
    <cellWatch r="M652"/>
    <cellWatch r="N652"/>
    <cellWatch r="A653"/>
    <cellWatch r="B653"/>
    <cellWatch r="C653"/>
    <cellWatch r="D653"/>
    <cellWatch r="E653"/>
    <cellWatch r="F653"/>
    <cellWatch r="G653"/>
    <cellWatch r="H653"/>
    <cellWatch r="I653"/>
    <cellWatch r="J653"/>
    <cellWatch r="K653"/>
    <cellWatch r="L653"/>
    <cellWatch r="M653"/>
    <cellWatch r="N653"/>
    <cellWatch r="A654"/>
    <cellWatch r="B654"/>
    <cellWatch r="C654"/>
    <cellWatch r="D654"/>
    <cellWatch r="E654"/>
    <cellWatch r="F654"/>
    <cellWatch r="G654"/>
    <cellWatch r="H654"/>
    <cellWatch r="I654"/>
    <cellWatch r="J654"/>
    <cellWatch r="K654"/>
    <cellWatch r="L654"/>
    <cellWatch r="M654"/>
    <cellWatch r="N654"/>
    <cellWatch r="A655"/>
    <cellWatch r="B655"/>
    <cellWatch r="C655"/>
    <cellWatch r="D655"/>
    <cellWatch r="E655"/>
    <cellWatch r="F655"/>
    <cellWatch r="G655"/>
    <cellWatch r="H655"/>
    <cellWatch r="I655"/>
    <cellWatch r="J655"/>
    <cellWatch r="K655"/>
    <cellWatch r="L655"/>
    <cellWatch r="M655"/>
    <cellWatch r="N655"/>
    <cellWatch r="A656"/>
    <cellWatch r="B656"/>
    <cellWatch r="C656"/>
    <cellWatch r="D656"/>
    <cellWatch r="E656"/>
    <cellWatch r="F656"/>
    <cellWatch r="G656"/>
    <cellWatch r="H656"/>
    <cellWatch r="I656"/>
    <cellWatch r="J656"/>
    <cellWatch r="K656"/>
    <cellWatch r="L656"/>
    <cellWatch r="M656"/>
    <cellWatch r="N656"/>
    <cellWatch r="A657"/>
    <cellWatch r="B657"/>
    <cellWatch r="C657"/>
    <cellWatch r="D657"/>
    <cellWatch r="E657"/>
    <cellWatch r="F657"/>
    <cellWatch r="G657"/>
    <cellWatch r="H657"/>
    <cellWatch r="I657"/>
    <cellWatch r="J657"/>
    <cellWatch r="K657"/>
    <cellWatch r="L657"/>
    <cellWatch r="M657"/>
    <cellWatch r="N657"/>
    <cellWatch r="A658"/>
    <cellWatch r="B658"/>
    <cellWatch r="C658"/>
    <cellWatch r="D658"/>
    <cellWatch r="E658"/>
    <cellWatch r="F658"/>
    <cellWatch r="G658"/>
    <cellWatch r="H658"/>
    <cellWatch r="I658"/>
    <cellWatch r="J658"/>
    <cellWatch r="K658"/>
    <cellWatch r="L658"/>
    <cellWatch r="M658"/>
    <cellWatch r="N658"/>
    <cellWatch r="A659"/>
    <cellWatch r="B659"/>
    <cellWatch r="C659"/>
    <cellWatch r="D659"/>
    <cellWatch r="E659"/>
    <cellWatch r="F659"/>
    <cellWatch r="G659"/>
    <cellWatch r="H659"/>
    <cellWatch r="I659"/>
    <cellWatch r="J659"/>
    <cellWatch r="K659"/>
    <cellWatch r="L659"/>
    <cellWatch r="M659"/>
    <cellWatch r="N659"/>
    <cellWatch r="A660"/>
    <cellWatch r="B660"/>
    <cellWatch r="C660"/>
    <cellWatch r="D660"/>
    <cellWatch r="E660"/>
    <cellWatch r="F660"/>
    <cellWatch r="G660"/>
    <cellWatch r="H660"/>
    <cellWatch r="I660"/>
    <cellWatch r="J660"/>
    <cellWatch r="K660"/>
    <cellWatch r="L660"/>
    <cellWatch r="M660"/>
    <cellWatch r="N660"/>
    <cellWatch r="A661"/>
    <cellWatch r="B661"/>
    <cellWatch r="C661"/>
    <cellWatch r="D661"/>
    <cellWatch r="E661"/>
    <cellWatch r="F661"/>
    <cellWatch r="G661"/>
    <cellWatch r="H661"/>
    <cellWatch r="I661"/>
    <cellWatch r="J661"/>
    <cellWatch r="K661"/>
    <cellWatch r="L661"/>
    <cellWatch r="M661"/>
    <cellWatch r="N661"/>
    <cellWatch r="A662"/>
    <cellWatch r="B662"/>
    <cellWatch r="C662"/>
    <cellWatch r="D662"/>
    <cellWatch r="E662"/>
    <cellWatch r="F662"/>
    <cellWatch r="G662"/>
    <cellWatch r="H662"/>
    <cellWatch r="I662"/>
    <cellWatch r="J662"/>
    <cellWatch r="K662"/>
    <cellWatch r="L662"/>
    <cellWatch r="M662"/>
    <cellWatch r="N662"/>
    <cellWatch r="A663"/>
    <cellWatch r="B663"/>
    <cellWatch r="C663"/>
    <cellWatch r="D663"/>
    <cellWatch r="E663"/>
    <cellWatch r="F663"/>
    <cellWatch r="G663"/>
    <cellWatch r="H663"/>
    <cellWatch r="I663"/>
    <cellWatch r="J663"/>
    <cellWatch r="K663"/>
    <cellWatch r="L663"/>
    <cellWatch r="M663"/>
    <cellWatch r="N663"/>
    <cellWatch r="A664"/>
    <cellWatch r="B664"/>
    <cellWatch r="C664"/>
    <cellWatch r="D664"/>
    <cellWatch r="E664"/>
    <cellWatch r="F664"/>
    <cellWatch r="G664"/>
    <cellWatch r="H664"/>
    <cellWatch r="I664"/>
    <cellWatch r="J664"/>
    <cellWatch r="K664"/>
    <cellWatch r="L664"/>
    <cellWatch r="M664"/>
    <cellWatch r="N664"/>
    <cellWatch r="A665"/>
    <cellWatch r="B665"/>
    <cellWatch r="C665"/>
    <cellWatch r="D665"/>
    <cellWatch r="E665"/>
    <cellWatch r="F665"/>
    <cellWatch r="G665"/>
    <cellWatch r="H665"/>
    <cellWatch r="I665"/>
    <cellWatch r="J665"/>
    <cellWatch r="K665"/>
    <cellWatch r="L665"/>
    <cellWatch r="M665"/>
    <cellWatch r="N665"/>
    <cellWatch r="A666"/>
    <cellWatch r="B666"/>
    <cellWatch r="C666"/>
    <cellWatch r="D666"/>
    <cellWatch r="E666"/>
    <cellWatch r="F666"/>
    <cellWatch r="G666"/>
    <cellWatch r="H666"/>
    <cellWatch r="I666"/>
    <cellWatch r="J666"/>
    <cellWatch r="K666"/>
    <cellWatch r="L666"/>
    <cellWatch r="M666"/>
    <cellWatch r="N666"/>
    <cellWatch r="A667"/>
    <cellWatch r="B667"/>
    <cellWatch r="C667"/>
    <cellWatch r="D667"/>
    <cellWatch r="E667"/>
    <cellWatch r="F667"/>
    <cellWatch r="G667"/>
    <cellWatch r="H667"/>
    <cellWatch r="I667"/>
    <cellWatch r="J667"/>
    <cellWatch r="K667"/>
    <cellWatch r="L667"/>
    <cellWatch r="M667"/>
    <cellWatch r="N667"/>
    <cellWatch r="A668"/>
    <cellWatch r="B668"/>
    <cellWatch r="C668"/>
    <cellWatch r="D668"/>
    <cellWatch r="E668"/>
    <cellWatch r="F668"/>
    <cellWatch r="G668"/>
    <cellWatch r="H668"/>
    <cellWatch r="I668"/>
    <cellWatch r="J668"/>
    <cellWatch r="K668"/>
    <cellWatch r="L668"/>
    <cellWatch r="M668"/>
    <cellWatch r="N668"/>
    <cellWatch r="A669"/>
    <cellWatch r="B669"/>
    <cellWatch r="C669"/>
    <cellWatch r="D669"/>
    <cellWatch r="E669"/>
    <cellWatch r="F669"/>
    <cellWatch r="G669"/>
    <cellWatch r="H669"/>
    <cellWatch r="I669"/>
    <cellWatch r="J669"/>
    <cellWatch r="K669"/>
    <cellWatch r="L669"/>
    <cellWatch r="M669"/>
    <cellWatch r="N669"/>
    <cellWatch r="A670"/>
    <cellWatch r="B670"/>
    <cellWatch r="C670"/>
    <cellWatch r="D670"/>
    <cellWatch r="E670"/>
    <cellWatch r="F670"/>
    <cellWatch r="G670"/>
    <cellWatch r="H670"/>
    <cellWatch r="I670"/>
    <cellWatch r="J670"/>
    <cellWatch r="K670"/>
    <cellWatch r="L670"/>
    <cellWatch r="M670"/>
    <cellWatch r="N670"/>
    <cellWatch r="A671"/>
    <cellWatch r="B671"/>
    <cellWatch r="C671"/>
    <cellWatch r="D671"/>
    <cellWatch r="E671"/>
    <cellWatch r="F671"/>
    <cellWatch r="G671"/>
    <cellWatch r="H671"/>
    <cellWatch r="I671"/>
    <cellWatch r="J671"/>
    <cellWatch r="K671"/>
    <cellWatch r="L671"/>
    <cellWatch r="M671"/>
    <cellWatch r="N671"/>
    <cellWatch r="A672"/>
    <cellWatch r="B672"/>
    <cellWatch r="C672"/>
    <cellWatch r="D672"/>
    <cellWatch r="E672"/>
    <cellWatch r="F672"/>
    <cellWatch r="G672"/>
    <cellWatch r="H672"/>
    <cellWatch r="I672"/>
    <cellWatch r="J672"/>
    <cellWatch r="K672"/>
    <cellWatch r="L672"/>
    <cellWatch r="M672"/>
    <cellWatch r="N672"/>
    <cellWatch r="A673"/>
    <cellWatch r="B673"/>
    <cellWatch r="C673"/>
    <cellWatch r="D673"/>
    <cellWatch r="E673"/>
    <cellWatch r="F673"/>
    <cellWatch r="G673"/>
    <cellWatch r="H673"/>
    <cellWatch r="I673"/>
    <cellWatch r="J673"/>
    <cellWatch r="K673"/>
    <cellWatch r="L673"/>
    <cellWatch r="M673"/>
    <cellWatch r="N673"/>
    <cellWatch r="A674"/>
    <cellWatch r="B674"/>
    <cellWatch r="C674"/>
    <cellWatch r="D674"/>
    <cellWatch r="E674"/>
    <cellWatch r="F674"/>
    <cellWatch r="G674"/>
    <cellWatch r="H674"/>
    <cellWatch r="I674"/>
    <cellWatch r="J674"/>
    <cellWatch r="K674"/>
    <cellWatch r="L674"/>
    <cellWatch r="M674"/>
    <cellWatch r="N674"/>
    <cellWatch r="A675"/>
    <cellWatch r="B675"/>
    <cellWatch r="C675"/>
    <cellWatch r="D675"/>
    <cellWatch r="E675"/>
    <cellWatch r="F675"/>
    <cellWatch r="G675"/>
    <cellWatch r="H675"/>
    <cellWatch r="I675"/>
    <cellWatch r="J675"/>
    <cellWatch r="K675"/>
    <cellWatch r="L675"/>
    <cellWatch r="M675"/>
    <cellWatch r="N675"/>
    <cellWatch r="A676"/>
    <cellWatch r="B676"/>
    <cellWatch r="C676"/>
    <cellWatch r="D676"/>
    <cellWatch r="E676"/>
    <cellWatch r="F676"/>
    <cellWatch r="G676"/>
    <cellWatch r="H676"/>
    <cellWatch r="I676"/>
    <cellWatch r="J676"/>
    <cellWatch r="K676"/>
    <cellWatch r="L676"/>
    <cellWatch r="M676"/>
    <cellWatch r="N676"/>
    <cellWatch r="A677"/>
    <cellWatch r="B677"/>
    <cellWatch r="C677"/>
    <cellWatch r="D677"/>
    <cellWatch r="E677"/>
    <cellWatch r="F677"/>
    <cellWatch r="G677"/>
    <cellWatch r="H677"/>
    <cellWatch r="I677"/>
    <cellWatch r="J677"/>
    <cellWatch r="K677"/>
    <cellWatch r="L677"/>
    <cellWatch r="M677"/>
    <cellWatch r="N677"/>
    <cellWatch r="A678"/>
    <cellWatch r="B678"/>
    <cellWatch r="C678"/>
    <cellWatch r="D678"/>
    <cellWatch r="E678"/>
    <cellWatch r="F678"/>
    <cellWatch r="G678"/>
    <cellWatch r="H678"/>
    <cellWatch r="I678"/>
    <cellWatch r="J678"/>
    <cellWatch r="K678"/>
    <cellWatch r="L678"/>
    <cellWatch r="M678"/>
    <cellWatch r="N678"/>
    <cellWatch r="A679"/>
    <cellWatch r="B679"/>
    <cellWatch r="C679"/>
    <cellWatch r="D679"/>
    <cellWatch r="E679"/>
    <cellWatch r="F679"/>
    <cellWatch r="G679"/>
    <cellWatch r="H679"/>
    <cellWatch r="I679"/>
    <cellWatch r="J679"/>
    <cellWatch r="K679"/>
    <cellWatch r="L679"/>
    <cellWatch r="M679"/>
    <cellWatch r="N679"/>
    <cellWatch r="A680"/>
    <cellWatch r="B680"/>
    <cellWatch r="C680"/>
    <cellWatch r="D680"/>
    <cellWatch r="E680"/>
    <cellWatch r="F680"/>
    <cellWatch r="G680"/>
    <cellWatch r="H680"/>
    <cellWatch r="I680"/>
    <cellWatch r="J680"/>
    <cellWatch r="K680"/>
    <cellWatch r="L680"/>
    <cellWatch r="M680"/>
    <cellWatch r="N680"/>
    <cellWatch r="A681"/>
    <cellWatch r="B681"/>
    <cellWatch r="C681"/>
    <cellWatch r="D681"/>
    <cellWatch r="E681"/>
    <cellWatch r="F681"/>
    <cellWatch r="G681"/>
    <cellWatch r="H681"/>
    <cellWatch r="I681"/>
    <cellWatch r="J681"/>
    <cellWatch r="K681"/>
    <cellWatch r="L681"/>
    <cellWatch r="M681"/>
    <cellWatch r="N681"/>
    <cellWatch r="A682"/>
    <cellWatch r="B682"/>
    <cellWatch r="C682"/>
    <cellWatch r="D682"/>
    <cellWatch r="E682"/>
    <cellWatch r="F682"/>
    <cellWatch r="G682"/>
    <cellWatch r="H682"/>
    <cellWatch r="I682"/>
    <cellWatch r="J682"/>
    <cellWatch r="K682"/>
    <cellWatch r="L682"/>
    <cellWatch r="M682"/>
    <cellWatch r="N682"/>
    <cellWatch r="A683"/>
    <cellWatch r="B683"/>
    <cellWatch r="C683"/>
    <cellWatch r="D683"/>
    <cellWatch r="E683"/>
    <cellWatch r="F683"/>
    <cellWatch r="G683"/>
    <cellWatch r="H683"/>
    <cellWatch r="I683"/>
    <cellWatch r="J683"/>
    <cellWatch r="K683"/>
    <cellWatch r="L683"/>
    <cellWatch r="M683"/>
    <cellWatch r="N683"/>
    <cellWatch r="A684"/>
    <cellWatch r="B684"/>
    <cellWatch r="C684"/>
    <cellWatch r="D684"/>
    <cellWatch r="E684"/>
    <cellWatch r="F684"/>
    <cellWatch r="G684"/>
    <cellWatch r="H684"/>
    <cellWatch r="I684"/>
    <cellWatch r="J684"/>
    <cellWatch r="K684"/>
    <cellWatch r="L684"/>
    <cellWatch r="M684"/>
    <cellWatch r="N684"/>
    <cellWatch r="A685"/>
    <cellWatch r="B685"/>
    <cellWatch r="C685"/>
    <cellWatch r="D685"/>
    <cellWatch r="E685"/>
    <cellWatch r="F685"/>
    <cellWatch r="G685"/>
    <cellWatch r="H685"/>
    <cellWatch r="I685"/>
    <cellWatch r="J685"/>
    <cellWatch r="K685"/>
    <cellWatch r="L685"/>
    <cellWatch r="M685"/>
    <cellWatch r="N685"/>
    <cellWatch r="A686"/>
    <cellWatch r="B686"/>
    <cellWatch r="C686"/>
    <cellWatch r="D686"/>
    <cellWatch r="E686"/>
    <cellWatch r="F686"/>
    <cellWatch r="G686"/>
    <cellWatch r="H686"/>
    <cellWatch r="I686"/>
    <cellWatch r="J686"/>
    <cellWatch r="K686"/>
    <cellWatch r="L686"/>
    <cellWatch r="M686"/>
    <cellWatch r="N686"/>
    <cellWatch r="A687"/>
    <cellWatch r="B687"/>
    <cellWatch r="C687"/>
    <cellWatch r="D687"/>
    <cellWatch r="E687"/>
    <cellWatch r="F687"/>
    <cellWatch r="G687"/>
    <cellWatch r="H687"/>
    <cellWatch r="I687"/>
    <cellWatch r="J687"/>
    <cellWatch r="K687"/>
    <cellWatch r="L687"/>
    <cellWatch r="M687"/>
    <cellWatch r="N687"/>
    <cellWatch r="A688"/>
    <cellWatch r="B688"/>
    <cellWatch r="C688"/>
    <cellWatch r="D688"/>
    <cellWatch r="E688"/>
    <cellWatch r="F688"/>
    <cellWatch r="G688"/>
    <cellWatch r="H688"/>
    <cellWatch r="I688"/>
    <cellWatch r="J688"/>
    <cellWatch r="K688"/>
    <cellWatch r="L688"/>
    <cellWatch r="M688"/>
    <cellWatch r="N688"/>
    <cellWatch r="A689"/>
    <cellWatch r="B689"/>
    <cellWatch r="C689"/>
    <cellWatch r="D689"/>
    <cellWatch r="E689"/>
    <cellWatch r="F689"/>
    <cellWatch r="G689"/>
    <cellWatch r="H689"/>
    <cellWatch r="I689"/>
    <cellWatch r="J689"/>
    <cellWatch r="K689"/>
    <cellWatch r="L689"/>
    <cellWatch r="M689"/>
    <cellWatch r="N689"/>
    <cellWatch r="A690"/>
    <cellWatch r="B690"/>
    <cellWatch r="C690"/>
    <cellWatch r="D690"/>
    <cellWatch r="E690"/>
    <cellWatch r="F690"/>
    <cellWatch r="G690"/>
    <cellWatch r="H690"/>
    <cellWatch r="I690"/>
    <cellWatch r="J690"/>
    <cellWatch r="K690"/>
    <cellWatch r="L690"/>
    <cellWatch r="M690"/>
    <cellWatch r="N690"/>
    <cellWatch r="A691"/>
    <cellWatch r="B691"/>
    <cellWatch r="C691"/>
    <cellWatch r="D691"/>
    <cellWatch r="E691"/>
    <cellWatch r="F691"/>
    <cellWatch r="G691"/>
    <cellWatch r="H691"/>
    <cellWatch r="I691"/>
    <cellWatch r="J691"/>
    <cellWatch r="K691"/>
    <cellWatch r="L691"/>
    <cellWatch r="M691"/>
    <cellWatch r="N691"/>
    <cellWatch r="A692"/>
    <cellWatch r="B692"/>
    <cellWatch r="C692"/>
    <cellWatch r="D692"/>
    <cellWatch r="E692"/>
    <cellWatch r="F692"/>
    <cellWatch r="G692"/>
    <cellWatch r="H692"/>
    <cellWatch r="I692"/>
    <cellWatch r="J692"/>
    <cellWatch r="K692"/>
    <cellWatch r="L692"/>
    <cellWatch r="M692"/>
    <cellWatch r="N692"/>
    <cellWatch r="A693"/>
    <cellWatch r="B693"/>
    <cellWatch r="C693"/>
    <cellWatch r="D693"/>
    <cellWatch r="E693"/>
    <cellWatch r="F693"/>
    <cellWatch r="G693"/>
    <cellWatch r="H693"/>
    <cellWatch r="I693"/>
    <cellWatch r="J693"/>
    <cellWatch r="K693"/>
    <cellWatch r="L693"/>
    <cellWatch r="M693"/>
    <cellWatch r="N693"/>
    <cellWatch r="A694"/>
    <cellWatch r="B694"/>
    <cellWatch r="C694"/>
    <cellWatch r="D694"/>
    <cellWatch r="E694"/>
    <cellWatch r="F694"/>
    <cellWatch r="G694"/>
    <cellWatch r="H694"/>
    <cellWatch r="I694"/>
    <cellWatch r="J694"/>
    <cellWatch r="K694"/>
    <cellWatch r="L694"/>
    <cellWatch r="M694"/>
    <cellWatch r="N694"/>
    <cellWatch r="A695"/>
    <cellWatch r="B695"/>
    <cellWatch r="C695"/>
    <cellWatch r="D695"/>
    <cellWatch r="E695"/>
    <cellWatch r="F695"/>
    <cellWatch r="G695"/>
    <cellWatch r="H695"/>
    <cellWatch r="I695"/>
    <cellWatch r="J695"/>
    <cellWatch r="K695"/>
    <cellWatch r="L695"/>
    <cellWatch r="M695"/>
    <cellWatch r="N695"/>
    <cellWatch r="A696"/>
    <cellWatch r="B696"/>
    <cellWatch r="C696"/>
    <cellWatch r="D696"/>
    <cellWatch r="E696"/>
    <cellWatch r="F696"/>
    <cellWatch r="G696"/>
    <cellWatch r="H696"/>
    <cellWatch r="I696"/>
    <cellWatch r="J696"/>
    <cellWatch r="K696"/>
    <cellWatch r="L696"/>
    <cellWatch r="M696"/>
    <cellWatch r="N696"/>
    <cellWatch r="A697"/>
    <cellWatch r="B697"/>
    <cellWatch r="C697"/>
    <cellWatch r="D697"/>
    <cellWatch r="E697"/>
    <cellWatch r="F697"/>
    <cellWatch r="G697"/>
    <cellWatch r="H697"/>
    <cellWatch r="I697"/>
    <cellWatch r="J697"/>
    <cellWatch r="K697"/>
    <cellWatch r="L697"/>
    <cellWatch r="M697"/>
    <cellWatch r="N697"/>
    <cellWatch r="A698"/>
    <cellWatch r="B698"/>
    <cellWatch r="C698"/>
    <cellWatch r="D698"/>
    <cellWatch r="E698"/>
    <cellWatch r="F698"/>
    <cellWatch r="G698"/>
    <cellWatch r="H698"/>
    <cellWatch r="I698"/>
    <cellWatch r="J698"/>
    <cellWatch r="K698"/>
    <cellWatch r="L698"/>
    <cellWatch r="M698"/>
    <cellWatch r="N698"/>
    <cellWatch r="A699"/>
    <cellWatch r="B699"/>
    <cellWatch r="C699"/>
    <cellWatch r="D699"/>
    <cellWatch r="E699"/>
    <cellWatch r="F699"/>
    <cellWatch r="G699"/>
    <cellWatch r="H699"/>
    <cellWatch r="I699"/>
    <cellWatch r="J699"/>
    <cellWatch r="K699"/>
    <cellWatch r="L699"/>
    <cellWatch r="M699"/>
    <cellWatch r="N699"/>
    <cellWatch r="A700"/>
    <cellWatch r="B700"/>
    <cellWatch r="C700"/>
    <cellWatch r="D700"/>
    <cellWatch r="E700"/>
    <cellWatch r="F700"/>
    <cellWatch r="G700"/>
    <cellWatch r="H700"/>
    <cellWatch r="I700"/>
    <cellWatch r="J700"/>
    <cellWatch r="K700"/>
    <cellWatch r="L700"/>
    <cellWatch r="M700"/>
    <cellWatch r="N700"/>
    <cellWatch r="A701"/>
    <cellWatch r="B701"/>
    <cellWatch r="C701"/>
    <cellWatch r="D701"/>
    <cellWatch r="E701"/>
    <cellWatch r="F701"/>
    <cellWatch r="G701"/>
    <cellWatch r="H701"/>
    <cellWatch r="I701"/>
    <cellWatch r="J701"/>
    <cellWatch r="K701"/>
    <cellWatch r="L701"/>
    <cellWatch r="M701"/>
    <cellWatch r="N701"/>
    <cellWatch r="A702"/>
    <cellWatch r="B702"/>
    <cellWatch r="C702"/>
    <cellWatch r="D702"/>
    <cellWatch r="E702"/>
    <cellWatch r="F702"/>
    <cellWatch r="G702"/>
    <cellWatch r="H702"/>
    <cellWatch r="I702"/>
    <cellWatch r="J702"/>
    <cellWatch r="K702"/>
    <cellWatch r="L702"/>
    <cellWatch r="M702"/>
    <cellWatch r="N702"/>
    <cellWatch r="A703"/>
    <cellWatch r="B703"/>
    <cellWatch r="C703"/>
    <cellWatch r="D703"/>
    <cellWatch r="E703"/>
    <cellWatch r="F703"/>
    <cellWatch r="G703"/>
    <cellWatch r="H703"/>
    <cellWatch r="I703"/>
    <cellWatch r="J703"/>
    <cellWatch r="K703"/>
    <cellWatch r="L703"/>
    <cellWatch r="M703"/>
    <cellWatch r="N703"/>
    <cellWatch r="A704"/>
    <cellWatch r="B704"/>
    <cellWatch r="C704"/>
    <cellWatch r="D704"/>
    <cellWatch r="E704"/>
    <cellWatch r="F704"/>
    <cellWatch r="G704"/>
    <cellWatch r="H704"/>
    <cellWatch r="I704"/>
    <cellWatch r="J704"/>
    <cellWatch r="K704"/>
    <cellWatch r="L704"/>
    <cellWatch r="M704"/>
    <cellWatch r="N704"/>
    <cellWatch r="A705"/>
    <cellWatch r="B705"/>
    <cellWatch r="C705"/>
    <cellWatch r="D705"/>
    <cellWatch r="E705"/>
    <cellWatch r="F705"/>
    <cellWatch r="G705"/>
    <cellWatch r="H705"/>
    <cellWatch r="I705"/>
    <cellWatch r="J705"/>
    <cellWatch r="K705"/>
    <cellWatch r="L705"/>
    <cellWatch r="M705"/>
    <cellWatch r="N705"/>
    <cellWatch r="A706"/>
    <cellWatch r="B706"/>
    <cellWatch r="C706"/>
    <cellWatch r="D706"/>
    <cellWatch r="E706"/>
    <cellWatch r="F706"/>
    <cellWatch r="G706"/>
    <cellWatch r="H706"/>
    <cellWatch r="I706"/>
    <cellWatch r="J706"/>
    <cellWatch r="K706"/>
    <cellWatch r="L706"/>
    <cellWatch r="M706"/>
    <cellWatch r="N706"/>
    <cellWatch r="A707"/>
    <cellWatch r="B707"/>
    <cellWatch r="C707"/>
    <cellWatch r="D707"/>
    <cellWatch r="E707"/>
    <cellWatch r="F707"/>
    <cellWatch r="G707"/>
    <cellWatch r="H707"/>
    <cellWatch r="I707"/>
    <cellWatch r="J707"/>
    <cellWatch r="K707"/>
    <cellWatch r="L707"/>
    <cellWatch r="M707"/>
    <cellWatch r="N707"/>
    <cellWatch r="A708"/>
    <cellWatch r="B708"/>
    <cellWatch r="C708"/>
    <cellWatch r="D708"/>
    <cellWatch r="E708"/>
    <cellWatch r="F708"/>
    <cellWatch r="G708"/>
    <cellWatch r="H708"/>
    <cellWatch r="I708"/>
    <cellWatch r="J708"/>
    <cellWatch r="K708"/>
    <cellWatch r="L708"/>
    <cellWatch r="M708"/>
    <cellWatch r="N708"/>
    <cellWatch r="A709"/>
    <cellWatch r="B709"/>
    <cellWatch r="C709"/>
    <cellWatch r="D709"/>
    <cellWatch r="E709"/>
    <cellWatch r="F709"/>
    <cellWatch r="G709"/>
    <cellWatch r="H709"/>
    <cellWatch r="I709"/>
    <cellWatch r="J709"/>
    <cellWatch r="K709"/>
    <cellWatch r="L709"/>
    <cellWatch r="M709"/>
    <cellWatch r="N709"/>
    <cellWatch r="A710"/>
    <cellWatch r="B710"/>
    <cellWatch r="C710"/>
    <cellWatch r="D710"/>
    <cellWatch r="E710"/>
    <cellWatch r="F710"/>
    <cellWatch r="G710"/>
    <cellWatch r="H710"/>
    <cellWatch r="I710"/>
    <cellWatch r="J710"/>
    <cellWatch r="K710"/>
    <cellWatch r="L710"/>
    <cellWatch r="M710"/>
    <cellWatch r="N710"/>
    <cellWatch r="A711"/>
    <cellWatch r="B711"/>
    <cellWatch r="C711"/>
    <cellWatch r="D711"/>
    <cellWatch r="E711"/>
    <cellWatch r="F711"/>
    <cellWatch r="G711"/>
    <cellWatch r="H711"/>
    <cellWatch r="I711"/>
    <cellWatch r="J711"/>
    <cellWatch r="K711"/>
    <cellWatch r="L711"/>
    <cellWatch r="M711"/>
    <cellWatch r="N711"/>
    <cellWatch r="A712"/>
    <cellWatch r="B712"/>
    <cellWatch r="C712"/>
    <cellWatch r="D712"/>
    <cellWatch r="E712"/>
    <cellWatch r="F712"/>
    <cellWatch r="G712"/>
    <cellWatch r="H712"/>
    <cellWatch r="I712"/>
    <cellWatch r="J712"/>
    <cellWatch r="K712"/>
    <cellWatch r="L712"/>
    <cellWatch r="M712"/>
    <cellWatch r="N712"/>
    <cellWatch r="A713"/>
    <cellWatch r="B713"/>
    <cellWatch r="C713"/>
    <cellWatch r="D713"/>
    <cellWatch r="E713"/>
    <cellWatch r="F713"/>
    <cellWatch r="G713"/>
    <cellWatch r="H713"/>
    <cellWatch r="I713"/>
    <cellWatch r="J713"/>
    <cellWatch r="K713"/>
    <cellWatch r="L713"/>
    <cellWatch r="M713"/>
    <cellWatch r="N713"/>
    <cellWatch r="A714"/>
    <cellWatch r="B714"/>
    <cellWatch r="C714"/>
    <cellWatch r="D714"/>
    <cellWatch r="E714"/>
    <cellWatch r="F714"/>
    <cellWatch r="G714"/>
    <cellWatch r="H714"/>
    <cellWatch r="I714"/>
    <cellWatch r="J714"/>
    <cellWatch r="K714"/>
    <cellWatch r="L714"/>
    <cellWatch r="M714"/>
    <cellWatch r="N714"/>
    <cellWatch r="A715"/>
    <cellWatch r="B715"/>
    <cellWatch r="C715"/>
    <cellWatch r="D715"/>
    <cellWatch r="E715"/>
    <cellWatch r="F715"/>
    <cellWatch r="G715"/>
    <cellWatch r="H715"/>
    <cellWatch r="I715"/>
    <cellWatch r="J715"/>
    <cellWatch r="K715"/>
    <cellWatch r="L715"/>
    <cellWatch r="M715"/>
    <cellWatch r="N715"/>
    <cellWatch r="A716"/>
    <cellWatch r="B716"/>
    <cellWatch r="C716"/>
    <cellWatch r="D716"/>
    <cellWatch r="E716"/>
    <cellWatch r="F716"/>
    <cellWatch r="G716"/>
    <cellWatch r="H716"/>
    <cellWatch r="I716"/>
    <cellWatch r="J716"/>
    <cellWatch r="K716"/>
    <cellWatch r="L716"/>
    <cellWatch r="M716"/>
    <cellWatch r="N716"/>
    <cellWatch r="A717"/>
    <cellWatch r="B717"/>
    <cellWatch r="C717"/>
    <cellWatch r="D717"/>
    <cellWatch r="E717"/>
    <cellWatch r="F717"/>
    <cellWatch r="G717"/>
    <cellWatch r="H717"/>
    <cellWatch r="I717"/>
    <cellWatch r="J717"/>
    <cellWatch r="K717"/>
    <cellWatch r="L717"/>
    <cellWatch r="M717"/>
    <cellWatch r="N717"/>
    <cellWatch r="A718"/>
    <cellWatch r="B718"/>
    <cellWatch r="C718"/>
    <cellWatch r="D718"/>
    <cellWatch r="E718"/>
    <cellWatch r="F718"/>
    <cellWatch r="G718"/>
    <cellWatch r="H718"/>
    <cellWatch r="I718"/>
    <cellWatch r="J718"/>
    <cellWatch r="K718"/>
    <cellWatch r="L718"/>
    <cellWatch r="M718"/>
    <cellWatch r="N718"/>
    <cellWatch r="A719"/>
    <cellWatch r="B719"/>
    <cellWatch r="C719"/>
    <cellWatch r="D719"/>
    <cellWatch r="E719"/>
    <cellWatch r="F719"/>
    <cellWatch r="G719"/>
    <cellWatch r="H719"/>
    <cellWatch r="I719"/>
    <cellWatch r="J719"/>
    <cellWatch r="K719"/>
    <cellWatch r="L719"/>
    <cellWatch r="M719"/>
    <cellWatch r="N719"/>
    <cellWatch r="A720"/>
    <cellWatch r="B720"/>
    <cellWatch r="C720"/>
    <cellWatch r="D720"/>
    <cellWatch r="E720"/>
    <cellWatch r="F720"/>
    <cellWatch r="G720"/>
    <cellWatch r="H720"/>
    <cellWatch r="I720"/>
    <cellWatch r="J720"/>
    <cellWatch r="K720"/>
    <cellWatch r="L720"/>
    <cellWatch r="M720"/>
    <cellWatch r="N720"/>
    <cellWatch r="A721"/>
    <cellWatch r="B721"/>
    <cellWatch r="C721"/>
    <cellWatch r="D721"/>
    <cellWatch r="E721"/>
    <cellWatch r="F721"/>
    <cellWatch r="G721"/>
    <cellWatch r="H721"/>
    <cellWatch r="I721"/>
    <cellWatch r="J721"/>
    <cellWatch r="K721"/>
    <cellWatch r="L721"/>
    <cellWatch r="M721"/>
    <cellWatch r="N721"/>
    <cellWatch r="A722"/>
    <cellWatch r="B722"/>
    <cellWatch r="C722"/>
    <cellWatch r="D722"/>
    <cellWatch r="E722"/>
    <cellWatch r="F722"/>
    <cellWatch r="G722"/>
    <cellWatch r="H722"/>
    <cellWatch r="I722"/>
    <cellWatch r="J722"/>
    <cellWatch r="K722"/>
    <cellWatch r="L722"/>
    <cellWatch r="M722"/>
    <cellWatch r="N722"/>
    <cellWatch r="A723"/>
    <cellWatch r="B723"/>
    <cellWatch r="C723"/>
    <cellWatch r="D723"/>
    <cellWatch r="E723"/>
    <cellWatch r="F723"/>
    <cellWatch r="G723"/>
    <cellWatch r="H723"/>
    <cellWatch r="I723"/>
    <cellWatch r="J723"/>
    <cellWatch r="K723"/>
    <cellWatch r="L723"/>
    <cellWatch r="M723"/>
    <cellWatch r="N723"/>
    <cellWatch r="A724"/>
    <cellWatch r="B724"/>
    <cellWatch r="C724"/>
    <cellWatch r="D724"/>
    <cellWatch r="E724"/>
    <cellWatch r="F724"/>
    <cellWatch r="G724"/>
    <cellWatch r="H724"/>
    <cellWatch r="I724"/>
    <cellWatch r="J724"/>
    <cellWatch r="K724"/>
    <cellWatch r="L724"/>
    <cellWatch r="M724"/>
    <cellWatch r="N724"/>
    <cellWatch r="A725"/>
    <cellWatch r="B725"/>
    <cellWatch r="C725"/>
    <cellWatch r="D725"/>
    <cellWatch r="E725"/>
    <cellWatch r="F725"/>
    <cellWatch r="G725"/>
    <cellWatch r="H725"/>
    <cellWatch r="I725"/>
    <cellWatch r="J725"/>
    <cellWatch r="K725"/>
    <cellWatch r="L725"/>
    <cellWatch r="M725"/>
    <cellWatch r="N725"/>
    <cellWatch r="A726"/>
    <cellWatch r="B726"/>
    <cellWatch r="C726"/>
    <cellWatch r="D726"/>
    <cellWatch r="E726"/>
    <cellWatch r="F726"/>
    <cellWatch r="G726"/>
    <cellWatch r="H726"/>
    <cellWatch r="I726"/>
    <cellWatch r="J726"/>
    <cellWatch r="K726"/>
    <cellWatch r="L726"/>
    <cellWatch r="M726"/>
    <cellWatch r="N726"/>
    <cellWatch r="A727"/>
    <cellWatch r="B727"/>
    <cellWatch r="C727"/>
    <cellWatch r="D727"/>
    <cellWatch r="E727"/>
    <cellWatch r="F727"/>
    <cellWatch r="G727"/>
    <cellWatch r="H727"/>
    <cellWatch r="I727"/>
    <cellWatch r="J727"/>
    <cellWatch r="K727"/>
    <cellWatch r="L727"/>
    <cellWatch r="M727"/>
    <cellWatch r="N727"/>
    <cellWatch r="A728"/>
    <cellWatch r="B728"/>
    <cellWatch r="C728"/>
    <cellWatch r="D728"/>
    <cellWatch r="E728"/>
    <cellWatch r="F728"/>
    <cellWatch r="G728"/>
    <cellWatch r="H728"/>
    <cellWatch r="I728"/>
    <cellWatch r="J728"/>
    <cellWatch r="K728"/>
    <cellWatch r="L728"/>
    <cellWatch r="M728"/>
    <cellWatch r="N728"/>
    <cellWatch r="A729"/>
    <cellWatch r="B729"/>
    <cellWatch r="C729"/>
    <cellWatch r="D729"/>
    <cellWatch r="E729"/>
    <cellWatch r="F729"/>
    <cellWatch r="G729"/>
    <cellWatch r="H729"/>
    <cellWatch r="I729"/>
    <cellWatch r="J729"/>
    <cellWatch r="K729"/>
    <cellWatch r="L729"/>
    <cellWatch r="M729"/>
    <cellWatch r="N729"/>
    <cellWatch r="A730"/>
    <cellWatch r="B730"/>
    <cellWatch r="C730"/>
    <cellWatch r="D730"/>
    <cellWatch r="E730"/>
    <cellWatch r="F730"/>
    <cellWatch r="G730"/>
    <cellWatch r="H730"/>
    <cellWatch r="I730"/>
    <cellWatch r="J730"/>
    <cellWatch r="K730"/>
    <cellWatch r="L730"/>
    <cellWatch r="M730"/>
    <cellWatch r="N730"/>
    <cellWatch r="A731"/>
    <cellWatch r="B731"/>
    <cellWatch r="C731"/>
    <cellWatch r="D731"/>
    <cellWatch r="E731"/>
    <cellWatch r="F731"/>
    <cellWatch r="G731"/>
    <cellWatch r="H731"/>
    <cellWatch r="I731"/>
    <cellWatch r="J731"/>
    <cellWatch r="K731"/>
    <cellWatch r="L731"/>
    <cellWatch r="M731"/>
    <cellWatch r="N731"/>
    <cellWatch r="A732"/>
    <cellWatch r="B732"/>
    <cellWatch r="C732"/>
    <cellWatch r="D732"/>
    <cellWatch r="E732"/>
    <cellWatch r="F732"/>
    <cellWatch r="G732"/>
    <cellWatch r="H732"/>
    <cellWatch r="I732"/>
    <cellWatch r="J732"/>
    <cellWatch r="K732"/>
    <cellWatch r="L732"/>
    <cellWatch r="M732"/>
    <cellWatch r="N732"/>
    <cellWatch r="A733"/>
    <cellWatch r="B733"/>
    <cellWatch r="C733"/>
    <cellWatch r="D733"/>
    <cellWatch r="E733"/>
    <cellWatch r="F733"/>
    <cellWatch r="G733"/>
    <cellWatch r="H733"/>
    <cellWatch r="I733"/>
    <cellWatch r="J733"/>
    <cellWatch r="K733"/>
    <cellWatch r="L733"/>
    <cellWatch r="M733"/>
    <cellWatch r="N733"/>
    <cellWatch r="A734"/>
    <cellWatch r="B734"/>
    <cellWatch r="C734"/>
    <cellWatch r="D734"/>
    <cellWatch r="E734"/>
    <cellWatch r="F734"/>
    <cellWatch r="G734"/>
    <cellWatch r="H734"/>
    <cellWatch r="I734"/>
    <cellWatch r="J734"/>
    <cellWatch r="K734"/>
    <cellWatch r="L734"/>
    <cellWatch r="M734"/>
    <cellWatch r="N734"/>
    <cellWatch r="A735"/>
    <cellWatch r="B735"/>
    <cellWatch r="C735"/>
    <cellWatch r="D735"/>
    <cellWatch r="E735"/>
    <cellWatch r="F735"/>
    <cellWatch r="G735"/>
    <cellWatch r="H735"/>
    <cellWatch r="I735"/>
    <cellWatch r="J735"/>
    <cellWatch r="K735"/>
    <cellWatch r="L735"/>
    <cellWatch r="M735"/>
    <cellWatch r="N735"/>
    <cellWatch r="A736"/>
    <cellWatch r="B736"/>
    <cellWatch r="C736"/>
    <cellWatch r="D736"/>
    <cellWatch r="E736"/>
    <cellWatch r="F736"/>
    <cellWatch r="G736"/>
    <cellWatch r="H736"/>
    <cellWatch r="I736"/>
    <cellWatch r="J736"/>
    <cellWatch r="K736"/>
    <cellWatch r="L736"/>
    <cellWatch r="M736"/>
    <cellWatch r="N736"/>
    <cellWatch r="A737"/>
    <cellWatch r="B737"/>
    <cellWatch r="C737"/>
    <cellWatch r="D737"/>
    <cellWatch r="E737"/>
    <cellWatch r="F737"/>
    <cellWatch r="G737"/>
    <cellWatch r="H737"/>
    <cellWatch r="I737"/>
    <cellWatch r="J737"/>
    <cellWatch r="K737"/>
    <cellWatch r="L737"/>
    <cellWatch r="M737"/>
    <cellWatch r="N737"/>
    <cellWatch r="A738"/>
    <cellWatch r="B738"/>
    <cellWatch r="C738"/>
    <cellWatch r="D738"/>
    <cellWatch r="E738"/>
    <cellWatch r="F738"/>
    <cellWatch r="G738"/>
    <cellWatch r="H738"/>
    <cellWatch r="I738"/>
    <cellWatch r="J738"/>
    <cellWatch r="K738"/>
    <cellWatch r="L738"/>
    <cellWatch r="M738"/>
    <cellWatch r="N738"/>
    <cellWatch r="A739"/>
    <cellWatch r="B739"/>
    <cellWatch r="C739"/>
    <cellWatch r="D739"/>
    <cellWatch r="E739"/>
    <cellWatch r="F739"/>
    <cellWatch r="G739"/>
    <cellWatch r="H739"/>
    <cellWatch r="I739"/>
    <cellWatch r="J739"/>
    <cellWatch r="K739"/>
    <cellWatch r="L739"/>
    <cellWatch r="M739"/>
    <cellWatch r="N739"/>
    <cellWatch r="A740"/>
    <cellWatch r="B740"/>
    <cellWatch r="C740"/>
    <cellWatch r="D740"/>
    <cellWatch r="E740"/>
    <cellWatch r="F740"/>
    <cellWatch r="G740"/>
    <cellWatch r="H740"/>
    <cellWatch r="I740"/>
    <cellWatch r="J740"/>
    <cellWatch r="K740"/>
    <cellWatch r="L740"/>
    <cellWatch r="M740"/>
    <cellWatch r="N740"/>
    <cellWatch r="A741"/>
    <cellWatch r="B741"/>
    <cellWatch r="C741"/>
    <cellWatch r="D741"/>
    <cellWatch r="E741"/>
    <cellWatch r="F741"/>
    <cellWatch r="G741"/>
    <cellWatch r="H741"/>
    <cellWatch r="I741"/>
    <cellWatch r="J741"/>
    <cellWatch r="K741"/>
    <cellWatch r="L741"/>
    <cellWatch r="M741"/>
    <cellWatch r="N741"/>
    <cellWatch r="A742"/>
    <cellWatch r="B742"/>
    <cellWatch r="C742"/>
    <cellWatch r="D742"/>
    <cellWatch r="E742"/>
    <cellWatch r="F742"/>
    <cellWatch r="G742"/>
    <cellWatch r="H742"/>
    <cellWatch r="I742"/>
    <cellWatch r="J742"/>
    <cellWatch r="K742"/>
    <cellWatch r="L742"/>
    <cellWatch r="M742"/>
    <cellWatch r="N742"/>
    <cellWatch r="A743"/>
    <cellWatch r="B743"/>
    <cellWatch r="C743"/>
    <cellWatch r="D743"/>
    <cellWatch r="E743"/>
    <cellWatch r="F743"/>
    <cellWatch r="G743"/>
    <cellWatch r="H743"/>
    <cellWatch r="I743"/>
    <cellWatch r="J743"/>
    <cellWatch r="K743"/>
    <cellWatch r="L743"/>
    <cellWatch r="M743"/>
    <cellWatch r="N743"/>
    <cellWatch r="A744"/>
    <cellWatch r="B744"/>
    <cellWatch r="C744"/>
    <cellWatch r="D744"/>
    <cellWatch r="E744"/>
    <cellWatch r="F744"/>
    <cellWatch r="G744"/>
    <cellWatch r="H744"/>
    <cellWatch r="I744"/>
    <cellWatch r="J744"/>
    <cellWatch r="K744"/>
    <cellWatch r="L744"/>
    <cellWatch r="M744"/>
    <cellWatch r="N744"/>
    <cellWatch r="A745"/>
    <cellWatch r="B745"/>
    <cellWatch r="C745"/>
    <cellWatch r="D745"/>
    <cellWatch r="E745"/>
    <cellWatch r="F745"/>
    <cellWatch r="G745"/>
    <cellWatch r="H745"/>
    <cellWatch r="I745"/>
    <cellWatch r="J745"/>
    <cellWatch r="K745"/>
    <cellWatch r="L745"/>
    <cellWatch r="M745"/>
    <cellWatch r="N745"/>
    <cellWatch r="A746"/>
    <cellWatch r="B746"/>
    <cellWatch r="C746"/>
    <cellWatch r="D746"/>
    <cellWatch r="E746"/>
    <cellWatch r="F746"/>
    <cellWatch r="G746"/>
    <cellWatch r="H746"/>
    <cellWatch r="I746"/>
    <cellWatch r="J746"/>
    <cellWatch r="K746"/>
    <cellWatch r="L746"/>
    <cellWatch r="M746"/>
    <cellWatch r="N746"/>
    <cellWatch r="A747"/>
    <cellWatch r="B747"/>
    <cellWatch r="C747"/>
    <cellWatch r="D747"/>
    <cellWatch r="E747"/>
    <cellWatch r="F747"/>
    <cellWatch r="G747"/>
    <cellWatch r="H747"/>
    <cellWatch r="I747"/>
    <cellWatch r="J747"/>
    <cellWatch r="K747"/>
    <cellWatch r="L747"/>
    <cellWatch r="M747"/>
    <cellWatch r="N747"/>
    <cellWatch r="A748"/>
    <cellWatch r="B748"/>
    <cellWatch r="C748"/>
    <cellWatch r="D748"/>
    <cellWatch r="E748"/>
    <cellWatch r="F748"/>
    <cellWatch r="G748"/>
    <cellWatch r="H748"/>
    <cellWatch r="I748"/>
    <cellWatch r="J748"/>
    <cellWatch r="K748"/>
    <cellWatch r="L748"/>
    <cellWatch r="M748"/>
    <cellWatch r="N748"/>
    <cellWatch r="A749"/>
    <cellWatch r="B749"/>
    <cellWatch r="C749"/>
    <cellWatch r="D749"/>
    <cellWatch r="E749"/>
    <cellWatch r="F749"/>
    <cellWatch r="G749"/>
    <cellWatch r="H749"/>
    <cellWatch r="I749"/>
    <cellWatch r="J749"/>
    <cellWatch r="K749"/>
    <cellWatch r="L749"/>
    <cellWatch r="M749"/>
    <cellWatch r="N749"/>
    <cellWatch r="A750"/>
    <cellWatch r="B750"/>
    <cellWatch r="C750"/>
    <cellWatch r="D750"/>
    <cellWatch r="E750"/>
    <cellWatch r="F750"/>
    <cellWatch r="G750"/>
    <cellWatch r="H750"/>
    <cellWatch r="I750"/>
    <cellWatch r="J750"/>
    <cellWatch r="K750"/>
    <cellWatch r="L750"/>
    <cellWatch r="M750"/>
    <cellWatch r="N750"/>
    <cellWatch r="A751"/>
    <cellWatch r="B751"/>
    <cellWatch r="C751"/>
    <cellWatch r="D751"/>
    <cellWatch r="E751"/>
    <cellWatch r="F751"/>
    <cellWatch r="G751"/>
    <cellWatch r="H751"/>
    <cellWatch r="I751"/>
    <cellWatch r="J751"/>
    <cellWatch r="K751"/>
    <cellWatch r="L751"/>
    <cellWatch r="M751"/>
    <cellWatch r="N751"/>
    <cellWatch r="A752"/>
    <cellWatch r="B752"/>
    <cellWatch r="C752"/>
    <cellWatch r="D752"/>
    <cellWatch r="E752"/>
    <cellWatch r="F752"/>
    <cellWatch r="G752"/>
    <cellWatch r="H752"/>
    <cellWatch r="I752"/>
    <cellWatch r="J752"/>
    <cellWatch r="K752"/>
    <cellWatch r="L752"/>
    <cellWatch r="M752"/>
    <cellWatch r="N752"/>
    <cellWatch r="A753"/>
    <cellWatch r="B753"/>
    <cellWatch r="C753"/>
    <cellWatch r="D753"/>
    <cellWatch r="E753"/>
    <cellWatch r="F753"/>
    <cellWatch r="G753"/>
    <cellWatch r="H753"/>
    <cellWatch r="I753"/>
    <cellWatch r="J753"/>
    <cellWatch r="K753"/>
    <cellWatch r="L753"/>
    <cellWatch r="M753"/>
    <cellWatch r="N753"/>
    <cellWatch r="A754"/>
    <cellWatch r="B754"/>
    <cellWatch r="C754"/>
    <cellWatch r="D754"/>
    <cellWatch r="E754"/>
    <cellWatch r="F754"/>
    <cellWatch r="G754"/>
    <cellWatch r="H754"/>
    <cellWatch r="I754"/>
    <cellWatch r="J754"/>
    <cellWatch r="K754"/>
    <cellWatch r="L754"/>
    <cellWatch r="M754"/>
    <cellWatch r="N754"/>
    <cellWatch r="A755"/>
    <cellWatch r="B755"/>
    <cellWatch r="C755"/>
    <cellWatch r="D755"/>
    <cellWatch r="E755"/>
    <cellWatch r="F755"/>
    <cellWatch r="G755"/>
    <cellWatch r="H755"/>
    <cellWatch r="I755"/>
    <cellWatch r="J755"/>
    <cellWatch r="K755"/>
    <cellWatch r="L755"/>
    <cellWatch r="M755"/>
    <cellWatch r="N755"/>
    <cellWatch r="A756"/>
    <cellWatch r="B756"/>
    <cellWatch r="C756"/>
    <cellWatch r="D756"/>
    <cellWatch r="E756"/>
    <cellWatch r="F756"/>
    <cellWatch r="G756"/>
    <cellWatch r="H756"/>
    <cellWatch r="I756"/>
    <cellWatch r="J756"/>
    <cellWatch r="K756"/>
    <cellWatch r="L756"/>
    <cellWatch r="M756"/>
    <cellWatch r="N756"/>
    <cellWatch r="A757"/>
    <cellWatch r="B757"/>
    <cellWatch r="C757"/>
    <cellWatch r="D757"/>
    <cellWatch r="E757"/>
    <cellWatch r="F757"/>
    <cellWatch r="G757"/>
    <cellWatch r="H757"/>
    <cellWatch r="I757"/>
    <cellWatch r="J757"/>
    <cellWatch r="K757"/>
    <cellWatch r="L757"/>
    <cellWatch r="M757"/>
    <cellWatch r="N757"/>
    <cellWatch r="A758"/>
    <cellWatch r="B758"/>
    <cellWatch r="C758"/>
    <cellWatch r="D758"/>
    <cellWatch r="E758"/>
    <cellWatch r="F758"/>
    <cellWatch r="G758"/>
    <cellWatch r="H758"/>
    <cellWatch r="I758"/>
    <cellWatch r="J758"/>
    <cellWatch r="K758"/>
    <cellWatch r="L758"/>
    <cellWatch r="M758"/>
    <cellWatch r="N758"/>
    <cellWatch r="A759"/>
    <cellWatch r="B759"/>
    <cellWatch r="C759"/>
    <cellWatch r="D759"/>
    <cellWatch r="E759"/>
    <cellWatch r="F759"/>
    <cellWatch r="G759"/>
    <cellWatch r="H759"/>
    <cellWatch r="I759"/>
    <cellWatch r="J759"/>
    <cellWatch r="K759"/>
    <cellWatch r="L759"/>
    <cellWatch r="M759"/>
    <cellWatch r="N759"/>
    <cellWatch r="A760"/>
    <cellWatch r="B760"/>
    <cellWatch r="C760"/>
    <cellWatch r="D760"/>
    <cellWatch r="E760"/>
    <cellWatch r="F760"/>
    <cellWatch r="G760"/>
    <cellWatch r="H760"/>
    <cellWatch r="I760"/>
    <cellWatch r="J760"/>
    <cellWatch r="K760"/>
    <cellWatch r="L760"/>
    <cellWatch r="M760"/>
    <cellWatch r="N760"/>
    <cellWatch r="A761"/>
    <cellWatch r="B761"/>
    <cellWatch r="C761"/>
    <cellWatch r="D761"/>
    <cellWatch r="E761"/>
    <cellWatch r="F761"/>
    <cellWatch r="G761"/>
    <cellWatch r="H761"/>
    <cellWatch r="I761"/>
    <cellWatch r="J761"/>
    <cellWatch r="K761"/>
    <cellWatch r="L761"/>
    <cellWatch r="M761"/>
    <cellWatch r="N761"/>
    <cellWatch r="A762"/>
    <cellWatch r="B762"/>
    <cellWatch r="C762"/>
    <cellWatch r="D762"/>
    <cellWatch r="E762"/>
    <cellWatch r="F762"/>
    <cellWatch r="G762"/>
    <cellWatch r="H762"/>
    <cellWatch r="I762"/>
    <cellWatch r="J762"/>
    <cellWatch r="K762"/>
    <cellWatch r="L762"/>
    <cellWatch r="M762"/>
    <cellWatch r="N762"/>
    <cellWatch r="A763"/>
    <cellWatch r="B763"/>
    <cellWatch r="C763"/>
    <cellWatch r="D763"/>
    <cellWatch r="E763"/>
    <cellWatch r="F763"/>
    <cellWatch r="G763"/>
    <cellWatch r="H763"/>
    <cellWatch r="I763"/>
    <cellWatch r="J763"/>
    <cellWatch r="K763"/>
    <cellWatch r="L763"/>
    <cellWatch r="M763"/>
    <cellWatch r="N763"/>
    <cellWatch r="A764"/>
    <cellWatch r="B764"/>
    <cellWatch r="C764"/>
    <cellWatch r="D764"/>
    <cellWatch r="E764"/>
    <cellWatch r="F764"/>
    <cellWatch r="G764"/>
    <cellWatch r="H764"/>
    <cellWatch r="I764"/>
    <cellWatch r="J764"/>
    <cellWatch r="K764"/>
    <cellWatch r="L764"/>
    <cellWatch r="M764"/>
    <cellWatch r="N764"/>
    <cellWatch r="A765"/>
    <cellWatch r="B765"/>
    <cellWatch r="C765"/>
    <cellWatch r="D765"/>
    <cellWatch r="E765"/>
    <cellWatch r="F765"/>
    <cellWatch r="G765"/>
    <cellWatch r="H765"/>
    <cellWatch r="I765"/>
    <cellWatch r="J765"/>
    <cellWatch r="K765"/>
    <cellWatch r="L765"/>
    <cellWatch r="M765"/>
    <cellWatch r="N765"/>
    <cellWatch r="A766"/>
    <cellWatch r="B766"/>
    <cellWatch r="C766"/>
    <cellWatch r="D766"/>
    <cellWatch r="E766"/>
    <cellWatch r="F766"/>
    <cellWatch r="G766"/>
    <cellWatch r="H766"/>
    <cellWatch r="I766"/>
    <cellWatch r="J766"/>
    <cellWatch r="K766"/>
    <cellWatch r="L766"/>
    <cellWatch r="M766"/>
    <cellWatch r="N766"/>
    <cellWatch r="A767"/>
    <cellWatch r="B767"/>
    <cellWatch r="C767"/>
    <cellWatch r="D767"/>
    <cellWatch r="E767"/>
    <cellWatch r="F767"/>
    <cellWatch r="G767"/>
    <cellWatch r="H767"/>
    <cellWatch r="I767"/>
    <cellWatch r="J767"/>
    <cellWatch r="K767"/>
    <cellWatch r="L767"/>
    <cellWatch r="M767"/>
    <cellWatch r="N767"/>
    <cellWatch r="A768"/>
    <cellWatch r="B768"/>
    <cellWatch r="C768"/>
    <cellWatch r="D768"/>
    <cellWatch r="E768"/>
    <cellWatch r="F768"/>
    <cellWatch r="G768"/>
    <cellWatch r="H768"/>
    <cellWatch r="I768"/>
    <cellWatch r="J768"/>
    <cellWatch r="K768"/>
    <cellWatch r="L768"/>
    <cellWatch r="M768"/>
    <cellWatch r="N768"/>
    <cellWatch r="A769"/>
    <cellWatch r="B769"/>
    <cellWatch r="C769"/>
    <cellWatch r="D769"/>
    <cellWatch r="E769"/>
    <cellWatch r="F769"/>
    <cellWatch r="G769"/>
    <cellWatch r="H769"/>
    <cellWatch r="I769"/>
    <cellWatch r="J769"/>
    <cellWatch r="K769"/>
    <cellWatch r="L769"/>
    <cellWatch r="M769"/>
    <cellWatch r="N769"/>
    <cellWatch r="A770"/>
    <cellWatch r="B770"/>
    <cellWatch r="C770"/>
    <cellWatch r="D770"/>
    <cellWatch r="E770"/>
    <cellWatch r="F770"/>
    <cellWatch r="G770"/>
    <cellWatch r="H770"/>
    <cellWatch r="I770"/>
    <cellWatch r="J770"/>
    <cellWatch r="K770"/>
    <cellWatch r="L770"/>
    <cellWatch r="M770"/>
    <cellWatch r="N770"/>
    <cellWatch r="A771"/>
    <cellWatch r="B771"/>
    <cellWatch r="C771"/>
    <cellWatch r="D771"/>
    <cellWatch r="E771"/>
    <cellWatch r="F771"/>
    <cellWatch r="G771"/>
    <cellWatch r="H771"/>
    <cellWatch r="I771"/>
    <cellWatch r="J771"/>
    <cellWatch r="K771"/>
    <cellWatch r="L771"/>
    <cellWatch r="M771"/>
    <cellWatch r="N771"/>
    <cellWatch r="A772"/>
    <cellWatch r="B772"/>
    <cellWatch r="C772"/>
    <cellWatch r="D772"/>
    <cellWatch r="E772"/>
    <cellWatch r="F772"/>
    <cellWatch r="G772"/>
    <cellWatch r="H772"/>
    <cellWatch r="I772"/>
    <cellWatch r="J772"/>
    <cellWatch r="K772"/>
    <cellWatch r="L772"/>
    <cellWatch r="M772"/>
    <cellWatch r="N772"/>
    <cellWatch r="A773"/>
    <cellWatch r="B773"/>
    <cellWatch r="C773"/>
    <cellWatch r="D773"/>
    <cellWatch r="E773"/>
    <cellWatch r="F773"/>
    <cellWatch r="G773"/>
    <cellWatch r="H773"/>
    <cellWatch r="I773"/>
    <cellWatch r="J773"/>
    <cellWatch r="K773"/>
    <cellWatch r="L773"/>
    <cellWatch r="M773"/>
    <cellWatch r="N773"/>
    <cellWatch r="A774"/>
    <cellWatch r="B774"/>
    <cellWatch r="C774"/>
    <cellWatch r="D774"/>
    <cellWatch r="E774"/>
    <cellWatch r="F774"/>
    <cellWatch r="G774"/>
    <cellWatch r="H774"/>
    <cellWatch r="I774"/>
    <cellWatch r="J774"/>
    <cellWatch r="K774"/>
    <cellWatch r="L774"/>
    <cellWatch r="M774"/>
    <cellWatch r="N774"/>
    <cellWatch r="A775"/>
    <cellWatch r="B775"/>
    <cellWatch r="C775"/>
    <cellWatch r="D775"/>
    <cellWatch r="E775"/>
    <cellWatch r="F775"/>
    <cellWatch r="G775"/>
    <cellWatch r="H775"/>
    <cellWatch r="I775"/>
    <cellWatch r="J775"/>
    <cellWatch r="K775"/>
    <cellWatch r="L775"/>
    <cellWatch r="M775"/>
    <cellWatch r="N775"/>
    <cellWatch r="A776"/>
    <cellWatch r="B776"/>
    <cellWatch r="C776"/>
    <cellWatch r="D776"/>
    <cellWatch r="E776"/>
    <cellWatch r="F776"/>
    <cellWatch r="G776"/>
    <cellWatch r="H776"/>
    <cellWatch r="I776"/>
    <cellWatch r="J776"/>
    <cellWatch r="K776"/>
    <cellWatch r="L776"/>
    <cellWatch r="M776"/>
    <cellWatch r="N776"/>
    <cellWatch r="A777"/>
    <cellWatch r="B777"/>
    <cellWatch r="C777"/>
    <cellWatch r="D777"/>
    <cellWatch r="E777"/>
    <cellWatch r="F777"/>
    <cellWatch r="G777"/>
    <cellWatch r="H777"/>
    <cellWatch r="I777"/>
    <cellWatch r="J777"/>
    <cellWatch r="K777"/>
    <cellWatch r="L777"/>
    <cellWatch r="M777"/>
    <cellWatch r="N777"/>
    <cellWatch r="A778"/>
    <cellWatch r="B778"/>
    <cellWatch r="C778"/>
    <cellWatch r="D778"/>
    <cellWatch r="E778"/>
    <cellWatch r="F778"/>
    <cellWatch r="G778"/>
    <cellWatch r="H778"/>
    <cellWatch r="I778"/>
    <cellWatch r="J778"/>
    <cellWatch r="K778"/>
    <cellWatch r="L778"/>
    <cellWatch r="M778"/>
    <cellWatch r="N778"/>
    <cellWatch r="A779"/>
    <cellWatch r="B779"/>
    <cellWatch r="C779"/>
    <cellWatch r="D779"/>
    <cellWatch r="E779"/>
    <cellWatch r="F779"/>
    <cellWatch r="G779"/>
    <cellWatch r="H779"/>
    <cellWatch r="I779"/>
    <cellWatch r="J779"/>
    <cellWatch r="K779"/>
    <cellWatch r="L779"/>
    <cellWatch r="M779"/>
    <cellWatch r="N779"/>
    <cellWatch r="A780"/>
    <cellWatch r="B780"/>
    <cellWatch r="C780"/>
    <cellWatch r="D780"/>
    <cellWatch r="E780"/>
    <cellWatch r="F780"/>
    <cellWatch r="G780"/>
    <cellWatch r="H780"/>
    <cellWatch r="I780"/>
    <cellWatch r="J780"/>
    <cellWatch r="K780"/>
    <cellWatch r="L780"/>
    <cellWatch r="M780"/>
    <cellWatch r="N780"/>
    <cellWatch r="A781"/>
    <cellWatch r="B781"/>
    <cellWatch r="C781"/>
    <cellWatch r="D781"/>
    <cellWatch r="E781"/>
    <cellWatch r="F781"/>
    <cellWatch r="G781"/>
    <cellWatch r="H781"/>
    <cellWatch r="I781"/>
    <cellWatch r="J781"/>
    <cellWatch r="K781"/>
    <cellWatch r="L781"/>
    <cellWatch r="M781"/>
    <cellWatch r="N781"/>
    <cellWatch r="A782"/>
    <cellWatch r="B782"/>
    <cellWatch r="C782"/>
    <cellWatch r="D782"/>
    <cellWatch r="E782"/>
    <cellWatch r="F782"/>
    <cellWatch r="G782"/>
    <cellWatch r="H782"/>
    <cellWatch r="I782"/>
    <cellWatch r="J782"/>
    <cellWatch r="K782"/>
    <cellWatch r="L782"/>
    <cellWatch r="M782"/>
    <cellWatch r="N782"/>
    <cellWatch r="A783"/>
    <cellWatch r="B783"/>
    <cellWatch r="C783"/>
    <cellWatch r="D783"/>
    <cellWatch r="E783"/>
    <cellWatch r="F783"/>
    <cellWatch r="G783"/>
    <cellWatch r="H783"/>
    <cellWatch r="I783"/>
    <cellWatch r="J783"/>
    <cellWatch r="K783"/>
    <cellWatch r="L783"/>
    <cellWatch r="M783"/>
    <cellWatch r="N783"/>
    <cellWatch r="A784"/>
    <cellWatch r="B784"/>
    <cellWatch r="C784"/>
    <cellWatch r="D784"/>
    <cellWatch r="E784"/>
    <cellWatch r="F784"/>
    <cellWatch r="G784"/>
    <cellWatch r="H784"/>
    <cellWatch r="I784"/>
    <cellWatch r="J784"/>
    <cellWatch r="K784"/>
    <cellWatch r="L784"/>
    <cellWatch r="M784"/>
    <cellWatch r="N784"/>
    <cellWatch r="A785"/>
    <cellWatch r="B785"/>
    <cellWatch r="C785"/>
    <cellWatch r="D785"/>
    <cellWatch r="E785"/>
    <cellWatch r="F785"/>
    <cellWatch r="G785"/>
    <cellWatch r="H785"/>
    <cellWatch r="I785"/>
    <cellWatch r="J785"/>
    <cellWatch r="K785"/>
    <cellWatch r="L785"/>
    <cellWatch r="M785"/>
    <cellWatch r="N785"/>
    <cellWatch r="A786"/>
    <cellWatch r="B786"/>
    <cellWatch r="C786"/>
    <cellWatch r="D786"/>
    <cellWatch r="E786"/>
    <cellWatch r="F786"/>
    <cellWatch r="G786"/>
    <cellWatch r="H786"/>
    <cellWatch r="I786"/>
    <cellWatch r="J786"/>
    <cellWatch r="K786"/>
    <cellWatch r="L786"/>
    <cellWatch r="M786"/>
    <cellWatch r="N786"/>
    <cellWatch r="A787"/>
    <cellWatch r="B787"/>
    <cellWatch r="C787"/>
    <cellWatch r="D787"/>
    <cellWatch r="E787"/>
    <cellWatch r="F787"/>
    <cellWatch r="G787"/>
    <cellWatch r="H787"/>
    <cellWatch r="I787"/>
    <cellWatch r="J787"/>
    <cellWatch r="K787"/>
    <cellWatch r="L787"/>
    <cellWatch r="M787"/>
    <cellWatch r="N787"/>
    <cellWatch r="A788"/>
    <cellWatch r="B788"/>
    <cellWatch r="C788"/>
    <cellWatch r="D788"/>
    <cellWatch r="E788"/>
    <cellWatch r="F788"/>
    <cellWatch r="G788"/>
    <cellWatch r="H788"/>
    <cellWatch r="I788"/>
    <cellWatch r="J788"/>
    <cellWatch r="K788"/>
    <cellWatch r="L788"/>
    <cellWatch r="M788"/>
    <cellWatch r="N788"/>
    <cellWatch r="A789"/>
    <cellWatch r="B789"/>
    <cellWatch r="C789"/>
    <cellWatch r="D789"/>
    <cellWatch r="E789"/>
    <cellWatch r="F789"/>
    <cellWatch r="G789"/>
    <cellWatch r="H789"/>
    <cellWatch r="I789"/>
    <cellWatch r="J789"/>
    <cellWatch r="K789"/>
    <cellWatch r="L789"/>
    <cellWatch r="M789"/>
    <cellWatch r="N789"/>
    <cellWatch r="A790"/>
    <cellWatch r="B790"/>
    <cellWatch r="C790"/>
    <cellWatch r="D790"/>
    <cellWatch r="E790"/>
    <cellWatch r="F790"/>
    <cellWatch r="G790"/>
    <cellWatch r="H790"/>
    <cellWatch r="I790"/>
    <cellWatch r="J790"/>
    <cellWatch r="K790"/>
    <cellWatch r="L790"/>
    <cellWatch r="M790"/>
    <cellWatch r="N790"/>
    <cellWatch r="A791"/>
    <cellWatch r="B791"/>
    <cellWatch r="C791"/>
    <cellWatch r="D791"/>
    <cellWatch r="E791"/>
    <cellWatch r="F791"/>
    <cellWatch r="G791"/>
    <cellWatch r="H791"/>
    <cellWatch r="I791"/>
    <cellWatch r="J791"/>
    <cellWatch r="K791"/>
    <cellWatch r="L791"/>
    <cellWatch r="M791"/>
    <cellWatch r="N791"/>
    <cellWatch r="A792"/>
    <cellWatch r="B792"/>
    <cellWatch r="C792"/>
    <cellWatch r="D792"/>
    <cellWatch r="E792"/>
    <cellWatch r="F792"/>
    <cellWatch r="G792"/>
    <cellWatch r="H792"/>
    <cellWatch r="I792"/>
    <cellWatch r="J792"/>
    <cellWatch r="K792"/>
    <cellWatch r="L792"/>
    <cellWatch r="M792"/>
    <cellWatch r="N792"/>
    <cellWatch r="A793"/>
    <cellWatch r="B793"/>
    <cellWatch r="C793"/>
    <cellWatch r="D793"/>
    <cellWatch r="E793"/>
    <cellWatch r="F793"/>
    <cellWatch r="G793"/>
    <cellWatch r="H793"/>
    <cellWatch r="I793"/>
    <cellWatch r="J793"/>
    <cellWatch r="K793"/>
    <cellWatch r="L793"/>
    <cellWatch r="M793"/>
    <cellWatch r="N793"/>
    <cellWatch r="A794"/>
    <cellWatch r="B794"/>
    <cellWatch r="C794"/>
    <cellWatch r="D794"/>
    <cellWatch r="E794"/>
    <cellWatch r="F794"/>
    <cellWatch r="G794"/>
    <cellWatch r="H794"/>
    <cellWatch r="I794"/>
    <cellWatch r="J794"/>
    <cellWatch r="K794"/>
    <cellWatch r="L794"/>
    <cellWatch r="M794"/>
    <cellWatch r="N794"/>
    <cellWatch r="A795"/>
    <cellWatch r="B795"/>
    <cellWatch r="C795"/>
    <cellWatch r="D795"/>
    <cellWatch r="E795"/>
    <cellWatch r="F795"/>
    <cellWatch r="G795"/>
    <cellWatch r="H795"/>
    <cellWatch r="I795"/>
    <cellWatch r="J795"/>
    <cellWatch r="K795"/>
    <cellWatch r="L795"/>
    <cellWatch r="M795"/>
    <cellWatch r="N795"/>
    <cellWatch r="A796"/>
    <cellWatch r="B796"/>
    <cellWatch r="C796"/>
    <cellWatch r="D796"/>
    <cellWatch r="E796"/>
    <cellWatch r="F796"/>
    <cellWatch r="G796"/>
    <cellWatch r="H796"/>
    <cellWatch r="I796"/>
    <cellWatch r="J796"/>
    <cellWatch r="K796"/>
    <cellWatch r="L796"/>
    <cellWatch r="M796"/>
    <cellWatch r="N796"/>
    <cellWatch r="A797"/>
    <cellWatch r="B797"/>
    <cellWatch r="C797"/>
    <cellWatch r="D797"/>
    <cellWatch r="E797"/>
    <cellWatch r="F797"/>
    <cellWatch r="G797"/>
    <cellWatch r="H797"/>
    <cellWatch r="I797"/>
    <cellWatch r="J797"/>
    <cellWatch r="K797"/>
    <cellWatch r="L797"/>
    <cellWatch r="M797"/>
    <cellWatch r="N797"/>
    <cellWatch r="A798"/>
    <cellWatch r="B798"/>
    <cellWatch r="C798"/>
    <cellWatch r="D798"/>
    <cellWatch r="E798"/>
    <cellWatch r="F798"/>
    <cellWatch r="G798"/>
    <cellWatch r="H798"/>
    <cellWatch r="I798"/>
    <cellWatch r="J798"/>
    <cellWatch r="K798"/>
    <cellWatch r="L798"/>
    <cellWatch r="M798"/>
    <cellWatch r="N798"/>
    <cellWatch r="A799"/>
    <cellWatch r="B799"/>
    <cellWatch r="C799"/>
    <cellWatch r="D799"/>
    <cellWatch r="E799"/>
    <cellWatch r="F799"/>
    <cellWatch r="G799"/>
    <cellWatch r="H799"/>
    <cellWatch r="I799"/>
    <cellWatch r="J799"/>
    <cellWatch r="K799"/>
    <cellWatch r="L799"/>
    <cellWatch r="M799"/>
    <cellWatch r="N799"/>
    <cellWatch r="A800"/>
    <cellWatch r="B800"/>
    <cellWatch r="C800"/>
    <cellWatch r="D800"/>
    <cellWatch r="E800"/>
    <cellWatch r="F800"/>
    <cellWatch r="G800"/>
    <cellWatch r="H800"/>
    <cellWatch r="I800"/>
    <cellWatch r="J800"/>
    <cellWatch r="K800"/>
    <cellWatch r="L800"/>
    <cellWatch r="M800"/>
    <cellWatch r="N800"/>
    <cellWatch r="A801"/>
    <cellWatch r="B801"/>
    <cellWatch r="C801"/>
    <cellWatch r="D801"/>
    <cellWatch r="E801"/>
    <cellWatch r="F801"/>
    <cellWatch r="G801"/>
    <cellWatch r="H801"/>
    <cellWatch r="I801"/>
    <cellWatch r="J801"/>
    <cellWatch r="K801"/>
    <cellWatch r="L801"/>
    <cellWatch r="M801"/>
    <cellWatch r="N801"/>
    <cellWatch r="A802"/>
    <cellWatch r="B802"/>
    <cellWatch r="C802"/>
    <cellWatch r="D802"/>
    <cellWatch r="E802"/>
    <cellWatch r="F802"/>
    <cellWatch r="G802"/>
    <cellWatch r="H802"/>
    <cellWatch r="I802"/>
    <cellWatch r="J802"/>
    <cellWatch r="K802"/>
    <cellWatch r="L802"/>
    <cellWatch r="M802"/>
    <cellWatch r="N802"/>
    <cellWatch r="A803"/>
    <cellWatch r="B803"/>
    <cellWatch r="C803"/>
    <cellWatch r="D803"/>
    <cellWatch r="E803"/>
    <cellWatch r="F803"/>
    <cellWatch r="G803"/>
    <cellWatch r="H803"/>
    <cellWatch r="I803"/>
    <cellWatch r="J803"/>
    <cellWatch r="K803"/>
    <cellWatch r="L803"/>
    <cellWatch r="M803"/>
    <cellWatch r="N803"/>
    <cellWatch r="A804"/>
    <cellWatch r="B804"/>
    <cellWatch r="C804"/>
    <cellWatch r="D804"/>
    <cellWatch r="E804"/>
    <cellWatch r="F804"/>
    <cellWatch r="G804"/>
    <cellWatch r="H804"/>
    <cellWatch r="I804"/>
    <cellWatch r="J804"/>
    <cellWatch r="K804"/>
    <cellWatch r="L804"/>
    <cellWatch r="M804"/>
    <cellWatch r="N804"/>
    <cellWatch r="A805"/>
    <cellWatch r="B805"/>
    <cellWatch r="C805"/>
    <cellWatch r="D805"/>
    <cellWatch r="E805"/>
    <cellWatch r="F805"/>
    <cellWatch r="G805"/>
    <cellWatch r="H805"/>
    <cellWatch r="I805"/>
    <cellWatch r="J805"/>
    <cellWatch r="K805"/>
    <cellWatch r="L805"/>
    <cellWatch r="M805"/>
    <cellWatch r="N805"/>
    <cellWatch r="A806"/>
    <cellWatch r="B806"/>
    <cellWatch r="C806"/>
    <cellWatch r="D806"/>
    <cellWatch r="E806"/>
    <cellWatch r="F806"/>
    <cellWatch r="G806"/>
    <cellWatch r="H806"/>
    <cellWatch r="I806"/>
    <cellWatch r="J806"/>
    <cellWatch r="K806"/>
    <cellWatch r="L806"/>
    <cellWatch r="M806"/>
    <cellWatch r="N806"/>
    <cellWatch r="A807"/>
    <cellWatch r="B807"/>
    <cellWatch r="C807"/>
    <cellWatch r="D807"/>
    <cellWatch r="E807"/>
    <cellWatch r="F807"/>
    <cellWatch r="G807"/>
    <cellWatch r="H807"/>
    <cellWatch r="I807"/>
    <cellWatch r="J807"/>
    <cellWatch r="K807"/>
    <cellWatch r="L807"/>
    <cellWatch r="M807"/>
    <cellWatch r="N807"/>
    <cellWatch r="A808"/>
    <cellWatch r="B808"/>
    <cellWatch r="C808"/>
    <cellWatch r="D808"/>
    <cellWatch r="E808"/>
    <cellWatch r="F808"/>
    <cellWatch r="G808"/>
    <cellWatch r="H808"/>
    <cellWatch r="I808"/>
    <cellWatch r="J808"/>
    <cellWatch r="K808"/>
    <cellWatch r="L808"/>
    <cellWatch r="M808"/>
    <cellWatch r="N808"/>
    <cellWatch r="A809"/>
    <cellWatch r="B809"/>
    <cellWatch r="C809"/>
    <cellWatch r="D809"/>
    <cellWatch r="E809"/>
    <cellWatch r="F809"/>
    <cellWatch r="G809"/>
    <cellWatch r="H809"/>
    <cellWatch r="I809"/>
    <cellWatch r="J809"/>
    <cellWatch r="K809"/>
    <cellWatch r="L809"/>
    <cellWatch r="M809"/>
    <cellWatch r="N809"/>
    <cellWatch r="A810"/>
    <cellWatch r="B810"/>
    <cellWatch r="C810"/>
    <cellWatch r="D810"/>
    <cellWatch r="E810"/>
    <cellWatch r="F810"/>
    <cellWatch r="G810"/>
    <cellWatch r="H810"/>
    <cellWatch r="I810"/>
    <cellWatch r="J810"/>
    <cellWatch r="K810"/>
    <cellWatch r="L810"/>
    <cellWatch r="M810"/>
    <cellWatch r="N810"/>
    <cellWatch r="A811"/>
    <cellWatch r="B811"/>
    <cellWatch r="C811"/>
    <cellWatch r="D811"/>
    <cellWatch r="E811"/>
    <cellWatch r="F811"/>
    <cellWatch r="G811"/>
    <cellWatch r="H811"/>
    <cellWatch r="I811"/>
    <cellWatch r="J811"/>
    <cellWatch r="K811"/>
    <cellWatch r="L811"/>
    <cellWatch r="M811"/>
    <cellWatch r="N811"/>
    <cellWatch r="A812"/>
    <cellWatch r="B812"/>
    <cellWatch r="C812"/>
    <cellWatch r="D812"/>
    <cellWatch r="E812"/>
    <cellWatch r="F812"/>
    <cellWatch r="G812"/>
    <cellWatch r="H812"/>
    <cellWatch r="I812"/>
    <cellWatch r="J812"/>
    <cellWatch r="K812"/>
    <cellWatch r="L812"/>
    <cellWatch r="M812"/>
    <cellWatch r="N812"/>
    <cellWatch r="A813"/>
    <cellWatch r="B813"/>
    <cellWatch r="C813"/>
    <cellWatch r="D813"/>
    <cellWatch r="E813"/>
    <cellWatch r="F813"/>
    <cellWatch r="G813"/>
    <cellWatch r="H813"/>
    <cellWatch r="I813"/>
    <cellWatch r="J813"/>
    <cellWatch r="K813"/>
    <cellWatch r="L813"/>
    <cellWatch r="M813"/>
    <cellWatch r="N813"/>
    <cellWatch r="A814"/>
    <cellWatch r="B814"/>
    <cellWatch r="C814"/>
    <cellWatch r="D814"/>
    <cellWatch r="E814"/>
    <cellWatch r="F814"/>
    <cellWatch r="G814"/>
    <cellWatch r="H814"/>
    <cellWatch r="I814"/>
    <cellWatch r="J814"/>
    <cellWatch r="K814"/>
    <cellWatch r="L814"/>
    <cellWatch r="M814"/>
    <cellWatch r="N814"/>
    <cellWatch r="A815"/>
    <cellWatch r="B815"/>
    <cellWatch r="C815"/>
    <cellWatch r="D815"/>
    <cellWatch r="E815"/>
    <cellWatch r="F815"/>
    <cellWatch r="G815"/>
    <cellWatch r="H815"/>
    <cellWatch r="I815"/>
    <cellWatch r="J815"/>
    <cellWatch r="K815"/>
    <cellWatch r="L815"/>
    <cellWatch r="M815"/>
    <cellWatch r="N815"/>
    <cellWatch r="A816"/>
    <cellWatch r="B816"/>
    <cellWatch r="C816"/>
    <cellWatch r="D816"/>
    <cellWatch r="E816"/>
    <cellWatch r="F816"/>
    <cellWatch r="G816"/>
    <cellWatch r="H816"/>
    <cellWatch r="I816"/>
    <cellWatch r="J816"/>
    <cellWatch r="K816"/>
    <cellWatch r="L816"/>
    <cellWatch r="M816"/>
    <cellWatch r="N816"/>
    <cellWatch r="A817"/>
    <cellWatch r="B817"/>
    <cellWatch r="C817"/>
    <cellWatch r="D817"/>
    <cellWatch r="E817"/>
    <cellWatch r="F817"/>
    <cellWatch r="G817"/>
    <cellWatch r="H817"/>
    <cellWatch r="I817"/>
    <cellWatch r="J817"/>
    <cellWatch r="K817"/>
    <cellWatch r="L817"/>
    <cellWatch r="M817"/>
    <cellWatch r="N817"/>
    <cellWatch r="A818"/>
    <cellWatch r="B818"/>
    <cellWatch r="C818"/>
    <cellWatch r="D818"/>
    <cellWatch r="E818"/>
    <cellWatch r="F818"/>
    <cellWatch r="G818"/>
    <cellWatch r="H818"/>
    <cellWatch r="I818"/>
    <cellWatch r="J818"/>
    <cellWatch r="K818"/>
    <cellWatch r="L818"/>
    <cellWatch r="M818"/>
    <cellWatch r="N818"/>
    <cellWatch r="A819"/>
    <cellWatch r="B819"/>
    <cellWatch r="C819"/>
    <cellWatch r="D819"/>
    <cellWatch r="E819"/>
    <cellWatch r="F819"/>
    <cellWatch r="G819"/>
    <cellWatch r="H819"/>
    <cellWatch r="I819"/>
    <cellWatch r="J819"/>
    <cellWatch r="K819"/>
    <cellWatch r="L819"/>
    <cellWatch r="M819"/>
    <cellWatch r="N819"/>
    <cellWatch r="A820"/>
    <cellWatch r="B820"/>
    <cellWatch r="C820"/>
    <cellWatch r="D820"/>
    <cellWatch r="E820"/>
    <cellWatch r="F820"/>
    <cellWatch r="G820"/>
    <cellWatch r="H820"/>
    <cellWatch r="I820"/>
    <cellWatch r="J820"/>
    <cellWatch r="K820"/>
    <cellWatch r="L820"/>
    <cellWatch r="M820"/>
    <cellWatch r="N820"/>
    <cellWatch r="A821"/>
    <cellWatch r="B821"/>
    <cellWatch r="C821"/>
    <cellWatch r="D821"/>
    <cellWatch r="E821"/>
    <cellWatch r="F821"/>
    <cellWatch r="G821"/>
    <cellWatch r="H821"/>
    <cellWatch r="I821"/>
    <cellWatch r="J821"/>
    <cellWatch r="K821"/>
    <cellWatch r="L821"/>
    <cellWatch r="M821"/>
    <cellWatch r="N821"/>
    <cellWatch r="A822"/>
    <cellWatch r="B822"/>
    <cellWatch r="C822"/>
    <cellWatch r="D822"/>
    <cellWatch r="E822"/>
    <cellWatch r="F822"/>
    <cellWatch r="G822"/>
    <cellWatch r="H822"/>
    <cellWatch r="I822"/>
    <cellWatch r="J822"/>
    <cellWatch r="K822"/>
    <cellWatch r="L822"/>
    <cellWatch r="M822"/>
    <cellWatch r="N822"/>
    <cellWatch r="A823"/>
    <cellWatch r="B823"/>
    <cellWatch r="C823"/>
    <cellWatch r="D823"/>
    <cellWatch r="E823"/>
    <cellWatch r="F823"/>
    <cellWatch r="G823"/>
    <cellWatch r="H823"/>
    <cellWatch r="I823"/>
    <cellWatch r="J823"/>
    <cellWatch r="K823"/>
    <cellWatch r="L823"/>
    <cellWatch r="M823"/>
    <cellWatch r="N823"/>
    <cellWatch r="A824"/>
    <cellWatch r="B824"/>
    <cellWatch r="C824"/>
    <cellWatch r="D824"/>
    <cellWatch r="E824"/>
    <cellWatch r="F824"/>
    <cellWatch r="G824"/>
    <cellWatch r="H824"/>
    <cellWatch r="I824"/>
    <cellWatch r="J824"/>
    <cellWatch r="K824"/>
    <cellWatch r="L824"/>
    <cellWatch r="M824"/>
    <cellWatch r="N824"/>
    <cellWatch r="A825"/>
    <cellWatch r="B825"/>
    <cellWatch r="C825"/>
    <cellWatch r="D825"/>
    <cellWatch r="E825"/>
    <cellWatch r="F825"/>
    <cellWatch r="G825"/>
    <cellWatch r="H825"/>
    <cellWatch r="I825"/>
    <cellWatch r="J825"/>
    <cellWatch r="K825"/>
    <cellWatch r="L825"/>
    <cellWatch r="M825"/>
    <cellWatch r="N825"/>
    <cellWatch r="A826"/>
    <cellWatch r="B826"/>
    <cellWatch r="C826"/>
    <cellWatch r="D826"/>
    <cellWatch r="E826"/>
    <cellWatch r="F826"/>
    <cellWatch r="G826"/>
    <cellWatch r="H826"/>
    <cellWatch r="I826"/>
    <cellWatch r="J826"/>
    <cellWatch r="K826"/>
    <cellWatch r="L826"/>
    <cellWatch r="M826"/>
    <cellWatch r="N826"/>
    <cellWatch r="A827"/>
    <cellWatch r="B827"/>
    <cellWatch r="C827"/>
    <cellWatch r="D827"/>
    <cellWatch r="E827"/>
    <cellWatch r="F827"/>
    <cellWatch r="G827"/>
    <cellWatch r="H827"/>
    <cellWatch r="I827"/>
    <cellWatch r="J827"/>
    <cellWatch r="K827"/>
    <cellWatch r="L827"/>
    <cellWatch r="M827"/>
    <cellWatch r="N827"/>
    <cellWatch r="A828"/>
    <cellWatch r="B828"/>
    <cellWatch r="C828"/>
    <cellWatch r="D828"/>
    <cellWatch r="E828"/>
    <cellWatch r="F828"/>
    <cellWatch r="G828"/>
    <cellWatch r="H828"/>
    <cellWatch r="I828"/>
    <cellWatch r="J828"/>
    <cellWatch r="K828"/>
    <cellWatch r="L828"/>
    <cellWatch r="M828"/>
    <cellWatch r="N828"/>
    <cellWatch r="A829"/>
    <cellWatch r="B829"/>
    <cellWatch r="C829"/>
    <cellWatch r="D829"/>
    <cellWatch r="E829"/>
    <cellWatch r="F829"/>
    <cellWatch r="G829"/>
    <cellWatch r="H829"/>
    <cellWatch r="I829"/>
    <cellWatch r="J829"/>
    <cellWatch r="K829"/>
    <cellWatch r="L829"/>
    <cellWatch r="M829"/>
    <cellWatch r="N829"/>
    <cellWatch r="A830"/>
    <cellWatch r="B830"/>
    <cellWatch r="C830"/>
    <cellWatch r="D830"/>
    <cellWatch r="E830"/>
    <cellWatch r="F830"/>
    <cellWatch r="G830"/>
    <cellWatch r="H830"/>
    <cellWatch r="I830"/>
    <cellWatch r="J830"/>
    <cellWatch r="K830"/>
    <cellWatch r="L830"/>
    <cellWatch r="M830"/>
    <cellWatch r="N830"/>
    <cellWatch r="A831"/>
    <cellWatch r="B831"/>
    <cellWatch r="C831"/>
    <cellWatch r="D831"/>
    <cellWatch r="E831"/>
    <cellWatch r="F831"/>
    <cellWatch r="G831"/>
    <cellWatch r="H831"/>
    <cellWatch r="I831"/>
    <cellWatch r="J831"/>
    <cellWatch r="K831"/>
    <cellWatch r="L831"/>
    <cellWatch r="M831"/>
    <cellWatch r="N831"/>
    <cellWatch r="A832"/>
    <cellWatch r="B832"/>
    <cellWatch r="C832"/>
    <cellWatch r="D832"/>
    <cellWatch r="E832"/>
    <cellWatch r="F832"/>
    <cellWatch r="G832"/>
    <cellWatch r="H832"/>
    <cellWatch r="I832"/>
    <cellWatch r="J832"/>
    <cellWatch r="K832"/>
    <cellWatch r="L832"/>
    <cellWatch r="M832"/>
    <cellWatch r="N832"/>
    <cellWatch r="A833"/>
    <cellWatch r="B833"/>
    <cellWatch r="C833"/>
    <cellWatch r="D833"/>
    <cellWatch r="E833"/>
    <cellWatch r="F833"/>
    <cellWatch r="G833"/>
    <cellWatch r="H833"/>
    <cellWatch r="I833"/>
    <cellWatch r="J833"/>
    <cellWatch r="K833"/>
    <cellWatch r="L833"/>
    <cellWatch r="M833"/>
    <cellWatch r="N833"/>
    <cellWatch r="A834"/>
    <cellWatch r="B834"/>
    <cellWatch r="C834"/>
    <cellWatch r="D834"/>
    <cellWatch r="E834"/>
    <cellWatch r="F834"/>
    <cellWatch r="G834"/>
    <cellWatch r="H834"/>
    <cellWatch r="I834"/>
    <cellWatch r="J834"/>
    <cellWatch r="K834"/>
    <cellWatch r="L834"/>
    <cellWatch r="M834"/>
    <cellWatch r="N834"/>
    <cellWatch r="A835"/>
    <cellWatch r="B835"/>
    <cellWatch r="C835"/>
    <cellWatch r="D835"/>
    <cellWatch r="E835"/>
    <cellWatch r="F835"/>
    <cellWatch r="G835"/>
    <cellWatch r="H835"/>
    <cellWatch r="I835"/>
    <cellWatch r="J835"/>
    <cellWatch r="K835"/>
    <cellWatch r="L835"/>
    <cellWatch r="M835"/>
    <cellWatch r="N835"/>
    <cellWatch r="A836"/>
    <cellWatch r="B836"/>
    <cellWatch r="C836"/>
    <cellWatch r="D836"/>
    <cellWatch r="E836"/>
    <cellWatch r="F836"/>
    <cellWatch r="G836"/>
    <cellWatch r="H836"/>
    <cellWatch r="I836"/>
    <cellWatch r="J836"/>
    <cellWatch r="K836"/>
    <cellWatch r="L836"/>
    <cellWatch r="M836"/>
    <cellWatch r="N836"/>
    <cellWatch r="A837"/>
    <cellWatch r="B837"/>
    <cellWatch r="C837"/>
    <cellWatch r="D837"/>
    <cellWatch r="E837"/>
    <cellWatch r="F837"/>
    <cellWatch r="G837"/>
    <cellWatch r="H837"/>
    <cellWatch r="I837"/>
    <cellWatch r="J837"/>
    <cellWatch r="K837"/>
    <cellWatch r="L837"/>
    <cellWatch r="M837"/>
    <cellWatch r="N837"/>
    <cellWatch r="A838"/>
    <cellWatch r="B838"/>
    <cellWatch r="C838"/>
    <cellWatch r="D838"/>
    <cellWatch r="E838"/>
    <cellWatch r="F838"/>
    <cellWatch r="G838"/>
    <cellWatch r="H838"/>
    <cellWatch r="I838"/>
    <cellWatch r="J838"/>
    <cellWatch r="K838"/>
    <cellWatch r="L838"/>
    <cellWatch r="M838"/>
    <cellWatch r="N838"/>
    <cellWatch r="A839"/>
    <cellWatch r="B839"/>
    <cellWatch r="C839"/>
    <cellWatch r="D839"/>
    <cellWatch r="E839"/>
    <cellWatch r="F839"/>
    <cellWatch r="G839"/>
    <cellWatch r="H839"/>
    <cellWatch r="I839"/>
    <cellWatch r="J839"/>
    <cellWatch r="K839"/>
    <cellWatch r="L839"/>
    <cellWatch r="M839"/>
    <cellWatch r="N839"/>
    <cellWatch r="A840"/>
    <cellWatch r="B840"/>
    <cellWatch r="C840"/>
    <cellWatch r="D840"/>
    <cellWatch r="E840"/>
    <cellWatch r="F840"/>
    <cellWatch r="G840"/>
    <cellWatch r="H840"/>
    <cellWatch r="I840"/>
    <cellWatch r="J840"/>
    <cellWatch r="K840"/>
    <cellWatch r="L840"/>
    <cellWatch r="M840"/>
    <cellWatch r="N840"/>
    <cellWatch r="A841"/>
    <cellWatch r="B841"/>
    <cellWatch r="C841"/>
    <cellWatch r="D841"/>
    <cellWatch r="E841"/>
    <cellWatch r="F841"/>
    <cellWatch r="G841"/>
    <cellWatch r="H841"/>
    <cellWatch r="I841"/>
    <cellWatch r="J841"/>
    <cellWatch r="K841"/>
    <cellWatch r="L841"/>
    <cellWatch r="M841"/>
    <cellWatch r="N841"/>
    <cellWatch r="A842"/>
    <cellWatch r="B842"/>
    <cellWatch r="C842"/>
    <cellWatch r="D842"/>
    <cellWatch r="E842"/>
    <cellWatch r="F842"/>
    <cellWatch r="G842"/>
    <cellWatch r="H842"/>
    <cellWatch r="I842"/>
    <cellWatch r="J842"/>
    <cellWatch r="K842"/>
    <cellWatch r="L842"/>
    <cellWatch r="M842"/>
    <cellWatch r="N842"/>
    <cellWatch r="A843"/>
    <cellWatch r="B843"/>
    <cellWatch r="C843"/>
    <cellWatch r="D843"/>
    <cellWatch r="E843"/>
    <cellWatch r="F843"/>
    <cellWatch r="G843"/>
    <cellWatch r="H843"/>
    <cellWatch r="I843"/>
    <cellWatch r="J843"/>
    <cellWatch r="K843"/>
    <cellWatch r="L843"/>
    <cellWatch r="M843"/>
    <cellWatch r="N843"/>
    <cellWatch r="A844"/>
    <cellWatch r="B844"/>
    <cellWatch r="C844"/>
    <cellWatch r="D844"/>
    <cellWatch r="E844"/>
    <cellWatch r="F844"/>
    <cellWatch r="G844"/>
    <cellWatch r="H844"/>
    <cellWatch r="I844"/>
    <cellWatch r="J844"/>
    <cellWatch r="K844"/>
    <cellWatch r="L844"/>
    <cellWatch r="M844"/>
    <cellWatch r="N844"/>
    <cellWatch r="A845"/>
    <cellWatch r="B845"/>
    <cellWatch r="C845"/>
    <cellWatch r="D845"/>
    <cellWatch r="E845"/>
    <cellWatch r="F845"/>
    <cellWatch r="G845"/>
    <cellWatch r="H845"/>
    <cellWatch r="I845"/>
    <cellWatch r="J845"/>
    <cellWatch r="K845"/>
    <cellWatch r="L845"/>
    <cellWatch r="M845"/>
    <cellWatch r="N845"/>
    <cellWatch r="A846"/>
    <cellWatch r="B846"/>
    <cellWatch r="C846"/>
    <cellWatch r="D846"/>
    <cellWatch r="E846"/>
    <cellWatch r="F846"/>
    <cellWatch r="G846"/>
    <cellWatch r="H846"/>
    <cellWatch r="I846"/>
    <cellWatch r="J846"/>
    <cellWatch r="K846"/>
    <cellWatch r="L846"/>
    <cellWatch r="M846"/>
    <cellWatch r="N846"/>
    <cellWatch r="A847"/>
    <cellWatch r="B847"/>
    <cellWatch r="C847"/>
    <cellWatch r="D847"/>
    <cellWatch r="E847"/>
    <cellWatch r="F847"/>
    <cellWatch r="G847"/>
    <cellWatch r="H847"/>
    <cellWatch r="I847"/>
    <cellWatch r="J847"/>
    <cellWatch r="K847"/>
    <cellWatch r="L847"/>
    <cellWatch r="M847"/>
    <cellWatch r="N847"/>
    <cellWatch r="A848"/>
    <cellWatch r="B848"/>
    <cellWatch r="C848"/>
    <cellWatch r="D848"/>
    <cellWatch r="E848"/>
    <cellWatch r="F848"/>
    <cellWatch r="G848"/>
    <cellWatch r="H848"/>
    <cellWatch r="I848"/>
    <cellWatch r="J848"/>
    <cellWatch r="K848"/>
    <cellWatch r="L848"/>
    <cellWatch r="M848"/>
    <cellWatch r="N848"/>
    <cellWatch r="A849"/>
    <cellWatch r="B849"/>
    <cellWatch r="C849"/>
    <cellWatch r="D849"/>
    <cellWatch r="E849"/>
    <cellWatch r="F849"/>
    <cellWatch r="G849"/>
    <cellWatch r="H849"/>
    <cellWatch r="I849"/>
    <cellWatch r="J849"/>
    <cellWatch r="K849"/>
    <cellWatch r="L849"/>
    <cellWatch r="M849"/>
    <cellWatch r="N849"/>
    <cellWatch r="A850"/>
    <cellWatch r="B850"/>
    <cellWatch r="C850"/>
    <cellWatch r="D850"/>
    <cellWatch r="E850"/>
    <cellWatch r="F850"/>
    <cellWatch r="G850"/>
    <cellWatch r="H850"/>
    <cellWatch r="I850"/>
    <cellWatch r="J850"/>
    <cellWatch r="K850"/>
    <cellWatch r="L850"/>
    <cellWatch r="M850"/>
    <cellWatch r="N850"/>
    <cellWatch r="A851"/>
    <cellWatch r="B851"/>
    <cellWatch r="C851"/>
    <cellWatch r="D851"/>
    <cellWatch r="E851"/>
    <cellWatch r="F851"/>
    <cellWatch r="G851"/>
    <cellWatch r="H851"/>
    <cellWatch r="I851"/>
    <cellWatch r="J851"/>
    <cellWatch r="K851"/>
    <cellWatch r="L851"/>
    <cellWatch r="M851"/>
    <cellWatch r="N851"/>
    <cellWatch r="A852"/>
    <cellWatch r="B852"/>
    <cellWatch r="C852"/>
    <cellWatch r="D852"/>
    <cellWatch r="E852"/>
    <cellWatch r="F852"/>
    <cellWatch r="G852"/>
    <cellWatch r="H852"/>
    <cellWatch r="I852"/>
    <cellWatch r="J852"/>
    <cellWatch r="K852"/>
    <cellWatch r="L852"/>
    <cellWatch r="M852"/>
    <cellWatch r="N852"/>
    <cellWatch r="A853"/>
    <cellWatch r="B853"/>
    <cellWatch r="C853"/>
    <cellWatch r="D853"/>
    <cellWatch r="E853"/>
    <cellWatch r="F853"/>
    <cellWatch r="G853"/>
    <cellWatch r="H853"/>
    <cellWatch r="I853"/>
    <cellWatch r="J853"/>
    <cellWatch r="K853"/>
    <cellWatch r="L853"/>
    <cellWatch r="M853"/>
    <cellWatch r="N853"/>
    <cellWatch r="A854"/>
    <cellWatch r="B854"/>
    <cellWatch r="C854"/>
    <cellWatch r="D854"/>
    <cellWatch r="E854"/>
    <cellWatch r="F854"/>
    <cellWatch r="G854"/>
    <cellWatch r="H854"/>
    <cellWatch r="I854"/>
    <cellWatch r="J854"/>
    <cellWatch r="K854"/>
    <cellWatch r="L854"/>
    <cellWatch r="M854"/>
    <cellWatch r="N854"/>
    <cellWatch r="A855"/>
    <cellWatch r="B855"/>
    <cellWatch r="C855"/>
    <cellWatch r="D855"/>
    <cellWatch r="E855"/>
    <cellWatch r="F855"/>
    <cellWatch r="G855"/>
    <cellWatch r="H855"/>
    <cellWatch r="I855"/>
    <cellWatch r="J855"/>
    <cellWatch r="K855"/>
    <cellWatch r="L855"/>
    <cellWatch r="M855"/>
    <cellWatch r="N855"/>
    <cellWatch r="A856"/>
    <cellWatch r="B856"/>
    <cellWatch r="C856"/>
    <cellWatch r="D856"/>
    <cellWatch r="E856"/>
    <cellWatch r="F856"/>
    <cellWatch r="G856"/>
    <cellWatch r="H856"/>
    <cellWatch r="I856"/>
    <cellWatch r="J856"/>
    <cellWatch r="K856"/>
    <cellWatch r="L856"/>
    <cellWatch r="M856"/>
    <cellWatch r="N856"/>
    <cellWatch r="A857"/>
    <cellWatch r="B857"/>
    <cellWatch r="C857"/>
    <cellWatch r="D857"/>
    <cellWatch r="E857"/>
    <cellWatch r="F857"/>
    <cellWatch r="G857"/>
    <cellWatch r="H857"/>
    <cellWatch r="I857"/>
    <cellWatch r="J857"/>
    <cellWatch r="K857"/>
    <cellWatch r="L857"/>
    <cellWatch r="M857"/>
    <cellWatch r="N857"/>
    <cellWatch r="A858"/>
    <cellWatch r="B858"/>
    <cellWatch r="C858"/>
    <cellWatch r="D858"/>
    <cellWatch r="E858"/>
    <cellWatch r="F858"/>
    <cellWatch r="G858"/>
    <cellWatch r="H858"/>
    <cellWatch r="I858"/>
    <cellWatch r="J858"/>
    <cellWatch r="K858"/>
    <cellWatch r="L858"/>
    <cellWatch r="M858"/>
    <cellWatch r="N858"/>
    <cellWatch r="A859"/>
    <cellWatch r="B859"/>
    <cellWatch r="C859"/>
    <cellWatch r="D859"/>
    <cellWatch r="E859"/>
    <cellWatch r="F859"/>
    <cellWatch r="G859"/>
    <cellWatch r="H859"/>
    <cellWatch r="I859"/>
    <cellWatch r="J859"/>
    <cellWatch r="K859"/>
    <cellWatch r="L859"/>
    <cellWatch r="M859"/>
    <cellWatch r="N859"/>
    <cellWatch r="A860"/>
    <cellWatch r="B860"/>
    <cellWatch r="C860"/>
    <cellWatch r="D860"/>
    <cellWatch r="E860"/>
    <cellWatch r="F860"/>
    <cellWatch r="G860"/>
    <cellWatch r="H860"/>
    <cellWatch r="I860"/>
    <cellWatch r="J860"/>
    <cellWatch r="K860"/>
    <cellWatch r="L860"/>
    <cellWatch r="M860"/>
    <cellWatch r="N860"/>
    <cellWatch r="A861"/>
    <cellWatch r="B861"/>
    <cellWatch r="C861"/>
    <cellWatch r="D861"/>
    <cellWatch r="E861"/>
    <cellWatch r="F861"/>
    <cellWatch r="G861"/>
    <cellWatch r="H861"/>
    <cellWatch r="I861"/>
    <cellWatch r="J861"/>
    <cellWatch r="K861"/>
    <cellWatch r="L861"/>
    <cellWatch r="M861"/>
    <cellWatch r="N861"/>
    <cellWatch r="A862"/>
    <cellWatch r="B862"/>
    <cellWatch r="C862"/>
    <cellWatch r="D862"/>
    <cellWatch r="E862"/>
    <cellWatch r="F862"/>
    <cellWatch r="G862"/>
    <cellWatch r="H862"/>
    <cellWatch r="I862"/>
    <cellWatch r="J862"/>
    <cellWatch r="K862"/>
    <cellWatch r="L862"/>
    <cellWatch r="M862"/>
    <cellWatch r="N862"/>
    <cellWatch r="A863"/>
    <cellWatch r="B863"/>
    <cellWatch r="C863"/>
    <cellWatch r="D863"/>
    <cellWatch r="E863"/>
    <cellWatch r="F863"/>
    <cellWatch r="G863"/>
    <cellWatch r="H863"/>
    <cellWatch r="I863"/>
    <cellWatch r="J863"/>
    <cellWatch r="K863"/>
    <cellWatch r="L863"/>
    <cellWatch r="M863"/>
    <cellWatch r="N863"/>
    <cellWatch r="A864"/>
    <cellWatch r="B864"/>
    <cellWatch r="C864"/>
    <cellWatch r="D864"/>
    <cellWatch r="E864"/>
    <cellWatch r="F864"/>
    <cellWatch r="G864"/>
    <cellWatch r="H864"/>
    <cellWatch r="I864"/>
    <cellWatch r="J864"/>
    <cellWatch r="K864"/>
    <cellWatch r="L864"/>
    <cellWatch r="M864"/>
    <cellWatch r="N864"/>
    <cellWatch r="A865"/>
    <cellWatch r="B865"/>
    <cellWatch r="C865"/>
    <cellWatch r="D865"/>
    <cellWatch r="E865"/>
    <cellWatch r="F865"/>
    <cellWatch r="G865"/>
    <cellWatch r="H865"/>
    <cellWatch r="I865"/>
    <cellWatch r="J865"/>
    <cellWatch r="K865"/>
    <cellWatch r="L865"/>
    <cellWatch r="M865"/>
    <cellWatch r="N865"/>
    <cellWatch r="A866"/>
    <cellWatch r="B866"/>
    <cellWatch r="C866"/>
    <cellWatch r="D866"/>
    <cellWatch r="E866"/>
    <cellWatch r="F866"/>
    <cellWatch r="G866"/>
    <cellWatch r="H866"/>
    <cellWatch r="I866"/>
    <cellWatch r="J866"/>
    <cellWatch r="K866"/>
    <cellWatch r="L866"/>
    <cellWatch r="M866"/>
    <cellWatch r="N866"/>
    <cellWatch r="A867"/>
    <cellWatch r="B867"/>
    <cellWatch r="C867"/>
    <cellWatch r="D867"/>
    <cellWatch r="E867"/>
    <cellWatch r="F867"/>
    <cellWatch r="G867"/>
    <cellWatch r="H867"/>
    <cellWatch r="I867"/>
    <cellWatch r="J867"/>
    <cellWatch r="K867"/>
    <cellWatch r="L867"/>
    <cellWatch r="M867"/>
    <cellWatch r="N867"/>
    <cellWatch r="A868"/>
    <cellWatch r="B868"/>
    <cellWatch r="C868"/>
    <cellWatch r="D868"/>
    <cellWatch r="E868"/>
    <cellWatch r="F868"/>
    <cellWatch r="G868"/>
    <cellWatch r="H868"/>
    <cellWatch r="I868"/>
    <cellWatch r="J868"/>
    <cellWatch r="K868"/>
    <cellWatch r="L868"/>
    <cellWatch r="M868"/>
    <cellWatch r="N868"/>
    <cellWatch r="A869"/>
    <cellWatch r="B869"/>
    <cellWatch r="C869"/>
    <cellWatch r="D869"/>
    <cellWatch r="E869"/>
    <cellWatch r="F869"/>
    <cellWatch r="G869"/>
    <cellWatch r="H869"/>
    <cellWatch r="I869"/>
    <cellWatch r="J869"/>
    <cellWatch r="K869"/>
    <cellWatch r="L869"/>
    <cellWatch r="M869"/>
    <cellWatch r="N869"/>
    <cellWatch r="A870"/>
    <cellWatch r="B870"/>
    <cellWatch r="C870"/>
    <cellWatch r="D870"/>
    <cellWatch r="E870"/>
    <cellWatch r="F870"/>
    <cellWatch r="G870"/>
    <cellWatch r="H870"/>
    <cellWatch r="I870"/>
    <cellWatch r="J870"/>
    <cellWatch r="K870"/>
    <cellWatch r="L870"/>
    <cellWatch r="M870"/>
    <cellWatch r="N870"/>
    <cellWatch r="A871"/>
    <cellWatch r="B871"/>
    <cellWatch r="C871"/>
    <cellWatch r="D871"/>
    <cellWatch r="E871"/>
    <cellWatch r="F871"/>
    <cellWatch r="G871"/>
    <cellWatch r="H871"/>
    <cellWatch r="I871"/>
    <cellWatch r="J871"/>
    <cellWatch r="K871"/>
    <cellWatch r="L871"/>
    <cellWatch r="M871"/>
    <cellWatch r="N871"/>
    <cellWatch r="A872"/>
    <cellWatch r="B872"/>
    <cellWatch r="C872"/>
    <cellWatch r="D872"/>
    <cellWatch r="E872"/>
    <cellWatch r="F872"/>
    <cellWatch r="G872"/>
    <cellWatch r="H872"/>
    <cellWatch r="I872"/>
    <cellWatch r="J872"/>
    <cellWatch r="K872"/>
    <cellWatch r="L872"/>
    <cellWatch r="M872"/>
    <cellWatch r="N872"/>
    <cellWatch r="A873"/>
    <cellWatch r="B873"/>
    <cellWatch r="C873"/>
    <cellWatch r="D873"/>
    <cellWatch r="E873"/>
    <cellWatch r="F873"/>
    <cellWatch r="G873"/>
    <cellWatch r="H873"/>
    <cellWatch r="I873"/>
    <cellWatch r="J873"/>
    <cellWatch r="K873"/>
    <cellWatch r="L873"/>
    <cellWatch r="M873"/>
    <cellWatch r="N873"/>
    <cellWatch r="A874"/>
    <cellWatch r="B874"/>
    <cellWatch r="C874"/>
    <cellWatch r="D874"/>
    <cellWatch r="E874"/>
    <cellWatch r="F874"/>
    <cellWatch r="G874"/>
    <cellWatch r="H874"/>
    <cellWatch r="I874"/>
    <cellWatch r="J874"/>
    <cellWatch r="K874"/>
    <cellWatch r="L874"/>
    <cellWatch r="M874"/>
    <cellWatch r="N874"/>
    <cellWatch r="A875"/>
    <cellWatch r="B875"/>
    <cellWatch r="C875"/>
    <cellWatch r="D875"/>
    <cellWatch r="E875"/>
    <cellWatch r="F875"/>
    <cellWatch r="G875"/>
    <cellWatch r="H875"/>
    <cellWatch r="I875"/>
    <cellWatch r="J875"/>
    <cellWatch r="K875"/>
    <cellWatch r="L875"/>
    <cellWatch r="M875"/>
    <cellWatch r="N875"/>
    <cellWatch r="A876"/>
    <cellWatch r="B876"/>
    <cellWatch r="C876"/>
    <cellWatch r="D876"/>
    <cellWatch r="E876"/>
    <cellWatch r="F876"/>
    <cellWatch r="G876"/>
    <cellWatch r="H876"/>
    <cellWatch r="I876"/>
    <cellWatch r="J876"/>
    <cellWatch r="K876"/>
    <cellWatch r="L876"/>
    <cellWatch r="M876"/>
    <cellWatch r="N876"/>
    <cellWatch r="A877"/>
    <cellWatch r="B877"/>
    <cellWatch r="C877"/>
    <cellWatch r="D877"/>
    <cellWatch r="E877"/>
    <cellWatch r="F877"/>
    <cellWatch r="G877"/>
    <cellWatch r="H877"/>
    <cellWatch r="I877"/>
    <cellWatch r="J877"/>
    <cellWatch r="K877"/>
    <cellWatch r="L877"/>
    <cellWatch r="M877"/>
    <cellWatch r="N877"/>
    <cellWatch r="A878"/>
    <cellWatch r="B878"/>
    <cellWatch r="C878"/>
    <cellWatch r="D878"/>
    <cellWatch r="E878"/>
    <cellWatch r="F878"/>
    <cellWatch r="G878"/>
    <cellWatch r="H878"/>
    <cellWatch r="I878"/>
    <cellWatch r="J878"/>
    <cellWatch r="K878"/>
    <cellWatch r="L878"/>
    <cellWatch r="M878"/>
    <cellWatch r="N878"/>
    <cellWatch r="A879"/>
    <cellWatch r="B879"/>
    <cellWatch r="C879"/>
    <cellWatch r="D879"/>
    <cellWatch r="E879"/>
    <cellWatch r="F879"/>
    <cellWatch r="G879"/>
    <cellWatch r="H879"/>
    <cellWatch r="I879"/>
    <cellWatch r="J879"/>
    <cellWatch r="K879"/>
    <cellWatch r="L879"/>
    <cellWatch r="M879"/>
    <cellWatch r="N879"/>
    <cellWatch r="A880"/>
    <cellWatch r="B880"/>
    <cellWatch r="C880"/>
    <cellWatch r="D880"/>
    <cellWatch r="E880"/>
    <cellWatch r="F880"/>
    <cellWatch r="G880"/>
    <cellWatch r="H880"/>
    <cellWatch r="I880"/>
    <cellWatch r="J880"/>
    <cellWatch r="K880"/>
    <cellWatch r="L880"/>
    <cellWatch r="M880"/>
    <cellWatch r="N880"/>
    <cellWatch r="A881"/>
    <cellWatch r="B881"/>
    <cellWatch r="C881"/>
    <cellWatch r="D881"/>
    <cellWatch r="E881"/>
    <cellWatch r="F881"/>
    <cellWatch r="G881"/>
    <cellWatch r="H881"/>
    <cellWatch r="I881"/>
    <cellWatch r="J881"/>
    <cellWatch r="K881"/>
    <cellWatch r="L881"/>
    <cellWatch r="M881"/>
    <cellWatch r="N881"/>
    <cellWatch r="A882"/>
    <cellWatch r="B882"/>
    <cellWatch r="C882"/>
    <cellWatch r="D882"/>
    <cellWatch r="E882"/>
    <cellWatch r="F882"/>
    <cellWatch r="G882"/>
    <cellWatch r="H882"/>
    <cellWatch r="I882"/>
    <cellWatch r="J882"/>
    <cellWatch r="K882"/>
    <cellWatch r="L882"/>
    <cellWatch r="M882"/>
    <cellWatch r="N882"/>
    <cellWatch r="A883"/>
    <cellWatch r="B883"/>
    <cellWatch r="C883"/>
    <cellWatch r="D883"/>
    <cellWatch r="E883"/>
    <cellWatch r="F883"/>
    <cellWatch r="G883"/>
    <cellWatch r="H883"/>
    <cellWatch r="I883"/>
    <cellWatch r="J883"/>
    <cellWatch r="K883"/>
    <cellWatch r="L883"/>
    <cellWatch r="M883"/>
    <cellWatch r="N883"/>
    <cellWatch r="A884"/>
    <cellWatch r="B884"/>
    <cellWatch r="C884"/>
    <cellWatch r="D884"/>
    <cellWatch r="E884"/>
    <cellWatch r="F884"/>
    <cellWatch r="G884"/>
    <cellWatch r="H884"/>
    <cellWatch r="I884"/>
    <cellWatch r="J884"/>
    <cellWatch r="K884"/>
    <cellWatch r="L884"/>
    <cellWatch r="M884"/>
    <cellWatch r="N884"/>
    <cellWatch r="A885"/>
    <cellWatch r="B885"/>
    <cellWatch r="C885"/>
    <cellWatch r="D885"/>
    <cellWatch r="E885"/>
    <cellWatch r="F885"/>
    <cellWatch r="G885"/>
    <cellWatch r="H885"/>
    <cellWatch r="I885"/>
    <cellWatch r="J885"/>
    <cellWatch r="K885"/>
    <cellWatch r="L885"/>
    <cellWatch r="M885"/>
    <cellWatch r="N885"/>
    <cellWatch r="A886"/>
    <cellWatch r="B886"/>
    <cellWatch r="C886"/>
    <cellWatch r="D886"/>
    <cellWatch r="E886"/>
    <cellWatch r="F886"/>
    <cellWatch r="G886"/>
    <cellWatch r="H886"/>
    <cellWatch r="I886"/>
    <cellWatch r="J886"/>
    <cellWatch r="K886"/>
    <cellWatch r="L886"/>
    <cellWatch r="M886"/>
    <cellWatch r="N886"/>
    <cellWatch r="A887"/>
    <cellWatch r="B887"/>
    <cellWatch r="C887"/>
    <cellWatch r="D887"/>
    <cellWatch r="E887"/>
    <cellWatch r="F887"/>
    <cellWatch r="G887"/>
    <cellWatch r="H887"/>
    <cellWatch r="I887"/>
    <cellWatch r="J887"/>
    <cellWatch r="K887"/>
    <cellWatch r="L887"/>
    <cellWatch r="M887"/>
    <cellWatch r="N887"/>
    <cellWatch r="A888"/>
    <cellWatch r="B888"/>
    <cellWatch r="C888"/>
    <cellWatch r="D888"/>
    <cellWatch r="E888"/>
    <cellWatch r="F888"/>
    <cellWatch r="G888"/>
    <cellWatch r="H888"/>
    <cellWatch r="I888"/>
    <cellWatch r="J888"/>
    <cellWatch r="K888"/>
    <cellWatch r="L888"/>
    <cellWatch r="M888"/>
    <cellWatch r="N888"/>
    <cellWatch r="A889"/>
    <cellWatch r="B889"/>
    <cellWatch r="C889"/>
    <cellWatch r="D889"/>
    <cellWatch r="E889"/>
    <cellWatch r="F889"/>
    <cellWatch r="G889"/>
    <cellWatch r="H889"/>
    <cellWatch r="I889"/>
    <cellWatch r="J889"/>
    <cellWatch r="K889"/>
    <cellWatch r="L889"/>
    <cellWatch r="M889"/>
    <cellWatch r="N889"/>
    <cellWatch r="A890"/>
    <cellWatch r="B890"/>
    <cellWatch r="C890"/>
    <cellWatch r="D890"/>
    <cellWatch r="E890"/>
    <cellWatch r="F890"/>
    <cellWatch r="G890"/>
    <cellWatch r="H890"/>
    <cellWatch r="I890"/>
    <cellWatch r="J890"/>
    <cellWatch r="K890"/>
    <cellWatch r="L890"/>
    <cellWatch r="M890"/>
    <cellWatch r="N890"/>
    <cellWatch r="A891"/>
    <cellWatch r="B891"/>
    <cellWatch r="C891"/>
    <cellWatch r="D891"/>
    <cellWatch r="E891"/>
    <cellWatch r="F891"/>
    <cellWatch r="G891"/>
    <cellWatch r="H891"/>
    <cellWatch r="I891"/>
    <cellWatch r="J891"/>
    <cellWatch r="K891"/>
    <cellWatch r="L891"/>
    <cellWatch r="M891"/>
    <cellWatch r="N891"/>
    <cellWatch r="A892"/>
    <cellWatch r="B892"/>
    <cellWatch r="C892"/>
    <cellWatch r="D892"/>
    <cellWatch r="E892"/>
    <cellWatch r="F892"/>
    <cellWatch r="G892"/>
    <cellWatch r="H892"/>
    <cellWatch r="I892"/>
    <cellWatch r="J892"/>
    <cellWatch r="K892"/>
    <cellWatch r="L892"/>
    <cellWatch r="M892"/>
    <cellWatch r="N892"/>
    <cellWatch r="A893"/>
    <cellWatch r="B893"/>
    <cellWatch r="C893"/>
    <cellWatch r="D893"/>
    <cellWatch r="E893"/>
    <cellWatch r="F893"/>
    <cellWatch r="G893"/>
    <cellWatch r="H893"/>
    <cellWatch r="I893"/>
    <cellWatch r="J893"/>
    <cellWatch r="K893"/>
    <cellWatch r="L893"/>
    <cellWatch r="M893"/>
    <cellWatch r="N893"/>
    <cellWatch r="A894"/>
    <cellWatch r="B894"/>
    <cellWatch r="C894"/>
    <cellWatch r="D894"/>
    <cellWatch r="E894"/>
    <cellWatch r="F894"/>
    <cellWatch r="G894"/>
    <cellWatch r="H894"/>
    <cellWatch r="I894"/>
    <cellWatch r="J894"/>
    <cellWatch r="K894"/>
    <cellWatch r="L894"/>
    <cellWatch r="M894"/>
    <cellWatch r="N894"/>
    <cellWatch r="A895"/>
    <cellWatch r="B895"/>
    <cellWatch r="C895"/>
    <cellWatch r="D895"/>
    <cellWatch r="E895"/>
    <cellWatch r="F895"/>
    <cellWatch r="G895"/>
    <cellWatch r="H895"/>
    <cellWatch r="I895"/>
    <cellWatch r="J895"/>
    <cellWatch r="K895"/>
    <cellWatch r="L895"/>
    <cellWatch r="M895"/>
    <cellWatch r="N895"/>
    <cellWatch r="A896"/>
    <cellWatch r="B896"/>
    <cellWatch r="C896"/>
    <cellWatch r="D896"/>
    <cellWatch r="E896"/>
    <cellWatch r="F896"/>
    <cellWatch r="G896"/>
    <cellWatch r="H896"/>
    <cellWatch r="I896"/>
    <cellWatch r="J896"/>
    <cellWatch r="K896"/>
    <cellWatch r="L896"/>
    <cellWatch r="M896"/>
    <cellWatch r="N896"/>
    <cellWatch r="A897"/>
    <cellWatch r="B897"/>
    <cellWatch r="C897"/>
    <cellWatch r="D897"/>
    <cellWatch r="E897"/>
    <cellWatch r="F897"/>
    <cellWatch r="G897"/>
    <cellWatch r="H897"/>
    <cellWatch r="I897"/>
    <cellWatch r="J897"/>
    <cellWatch r="K897"/>
    <cellWatch r="L897"/>
    <cellWatch r="M897"/>
    <cellWatch r="N897"/>
    <cellWatch r="A898"/>
    <cellWatch r="B898"/>
    <cellWatch r="C898"/>
    <cellWatch r="D898"/>
    <cellWatch r="E898"/>
    <cellWatch r="F898"/>
    <cellWatch r="G898"/>
    <cellWatch r="H898"/>
    <cellWatch r="I898"/>
    <cellWatch r="J898"/>
    <cellWatch r="K898"/>
    <cellWatch r="L898"/>
    <cellWatch r="M898"/>
    <cellWatch r="N898"/>
    <cellWatch r="A899"/>
    <cellWatch r="B899"/>
    <cellWatch r="C899"/>
    <cellWatch r="D899"/>
    <cellWatch r="E899"/>
    <cellWatch r="F899"/>
    <cellWatch r="G899"/>
    <cellWatch r="H899"/>
    <cellWatch r="I899"/>
    <cellWatch r="J899"/>
    <cellWatch r="K899"/>
    <cellWatch r="L899"/>
    <cellWatch r="M899"/>
    <cellWatch r="N899"/>
    <cellWatch r="A900"/>
    <cellWatch r="B900"/>
    <cellWatch r="C900"/>
    <cellWatch r="D900"/>
    <cellWatch r="E900"/>
    <cellWatch r="F900"/>
    <cellWatch r="G900"/>
    <cellWatch r="H900"/>
    <cellWatch r="I900"/>
    <cellWatch r="J900"/>
    <cellWatch r="K900"/>
    <cellWatch r="L900"/>
    <cellWatch r="M900"/>
    <cellWatch r="N900"/>
    <cellWatch r="A901"/>
    <cellWatch r="B901"/>
    <cellWatch r="C901"/>
    <cellWatch r="D901"/>
    <cellWatch r="E901"/>
    <cellWatch r="F901"/>
    <cellWatch r="G901"/>
    <cellWatch r="H901"/>
    <cellWatch r="I901"/>
    <cellWatch r="J901"/>
    <cellWatch r="K901"/>
    <cellWatch r="L901"/>
    <cellWatch r="M901"/>
    <cellWatch r="N901"/>
    <cellWatch r="A902"/>
    <cellWatch r="B902"/>
    <cellWatch r="C902"/>
    <cellWatch r="D902"/>
    <cellWatch r="E902"/>
    <cellWatch r="F902"/>
    <cellWatch r="G902"/>
    <cellWatch r="H902"/>
    <cellWatch r="I902"/>
    <cellWatch r="J902"/>
    <cellWatch r="K902"/>
    <cellWatch r="L902"/>
    <cellWatch r="M902"/>
    <cellWatch r="N902"/>
    <cellWatch r="A903"/>
    <cellWatch r="B903"/>
    <cellWatch r="C903"/>
    <cellWatch r="D903"/>
    <cellWatch r="E903"/>
    <cellWatch r="F903"/>
    <cellWatch r="G903"/>
    <cellWatch r="H903"/>
    <cellWatch r="I903"/>
    <cellWatch r="J903"/>
    <cellWatch r="K903"/>
    <cellWatch r="L903"/>
    <cellWatch r="M903"/>
    <cellWatch r="N903"/>
    <cellWatch r="A904"/>
    <cellWatch r="B904"/>
    <cellWatch r="C904"/>
    <cellWatch r="D904"/>
    <cellWatch r="E904"/>
    <cellWatch r="F904"/>
    <cellWatch r="G904"/>
    <cellWatch r="H904"/>
    <cellWatch r="I904"/>
    <cellWatch r="J904"/>
    <cellWatch r="K904"/>
    <cellWatch r="L904"/>
    <cellWatch r="M904"/>
    <cellWatch r="N904"/>
    <cellWatch r="A905"/>
    <cellWatch r="B905"/>
    <cellWatch r="C905"/>
    <cellWatch r="D905"/>
    <cellWatch r="E905"/>
    <cellWatch r="F905"/>
    <cellWatch r="G905"/>
    <cellWatch r="H905"/>
    <cellWatch r="I905"/>
    <cellWatch r="J905"/>
    <cellWatch r="K905"/>
    <cellWatch r="L905"/>
    <cellWatch r="M905"/>
    <cellWatch r="N905"/>
    <cellWatch r="A906"/>
    <cellWatch r="B906"/>
    <cellWatch r="C906"/>
    <cellWatch r="D906"/>
    <cellWatch r="E906"/>
    <cellWatch r="F906"/>
    <cellWatch r="G906"/>
    <cellWatch r="H906"/>
    <cellWatch r="I906"/>
    <cellWatch r="J906"/>
    <cellWatch r="K906"/>
    <cellWatch r="L906"/>
    <cellWatch r="M906"/>
    <cellWatch r="N906"/>
    <cellWatch r="A907"/>
    <cellWatch r="B907"/>
    <cellWatch r="C907"/>
    <cellWatch r="D907"/>
    <cellWatch r="E907"/>
    <cellWatch r="F907"/>
    <cellWatch r="G907"/>
    <cellWatch r="H907"/>
    <cellWatch r="I907"/>
    <cellWatch r="J907"/>
    <cellWatch r="K907"/>
    <cellWatch r="L907"/>
    <cellWatch r="M907"/>
    <cellWatch r="N907"/>
    <cellWatch r="A908"/>
    <cellWatch r="B908"/>
    <cellWatch r="C908"/>
    <cellWatch r="D908"/>
    <cellWatch r="E908"/>
    <cellWatch r="F908"/>
    <cellWatch r="G908"/>
    <cellWatch r="H908"/>
    <cellWatch r="I908"/>
    <cellWatch r="J908"/>
    <cellWatch r="K908"/>
    <cellWatch r="L908"/>
    <cellWatch r="M908"/>
    <cellWatch r="N908"/>
    <cellWatch r="A909"/>
    <cellWatch r="B909"/>
    <cellWatch r="C909"/>
    <cellWatch r="D909"/>
    <cellWatch r="E909"/>
    <cellWatch r="F909"/>
    <cellWatch r="G909"/>
    <cellWatch r="H909"/>
    <cellWatch r="I909"/>
    <cellWatch r="J909"/>
    <cellWatch r="K909"/>
    <cellWatch r="L909"/>
    <cellWatch r="M909"/>
    <cellWatch r="N909"/>
    <cellWatch r="A910"/>
    <cellWatch r="B910"/>
    <cellWatch r="C910"/>
    <cellWatch r="D910"/>
    <cellWatch r="E910"/>
    <cellWatch r="F910"/>
    <cellWatch r="G910"/>
    <cellWatch r="H910"/>
    <cellWatch r="I910"/>
    <cellWatch r="J910"/>
    <cellWatch r="K910"/>
    <cellWatch r="L910"/>
    <cellWatch r="M910"/>
    <cellWatch r="N910"/>
    <cellWatch r="A911"/>
    <cellWatch r="B911"/>
    <cellWatch r="C911"/>
    <cellWatch r="D911"/>
    <cellWatch r="E911"/>
    <cellWatch r="F911"/>
    <cellWatch r="G911"/>
    <cellWatch r="H911"/>
    <cellWatch r="I911"/>
    <cellWatch r="J911"/>
    <cellWatch r="K911"/>
    <cellWatch r="L911"/>
    <cellWatch r="M911"/>
    <cellWatch r="N911"/>
    <cellWatch r="A912"/>
    <cellWatch r="B912"/>
    <cellWatch r="C912"/>
    <cellWatch r="D912"/>
    <cellWatch r="E912"/>
    <cellWatch r="F912"/>
    <cellWatch r="G912"/>
    <cellWatch r="H912"/>
    <cellWatch r="I912"/>
    <cellWatch r="J912"/>
    <cellWatch r="K912"/>
    <cellWatch r="L912"/>
    <cellWatch r="M912"/>
    <cellWatch r="N912"/>
    <cellWatch r="A913"/>
    <cellWatch r="B913"/>
    <cellWatch r="C913"/>
    <cellWatch r="D913"/>
    <cellWatch r="E913"/>
    <cellWatch r="F913"/>
    <cellWatch r="G913"/>
    <cellWatch r="H913"/>
    <cellWatch r="I913"/>
    <cellWatch r="J913"/>
    <cellWatch r="K913"/>
    <cellWatch r="L913"/>
    <cellWatch r="M913"/>
    <cellWatch r="N913"/>
    <cellWatch r="A914"/>
    <cellWatch r="B914"/>
    <cellWatch r="C914"/>
    <cellWatch r="D914"/>
    <cellWatch r="E914"/>
    <cellWatch r="F914"/>
    <cellWatch r="G914"/>
    <cellWatch r="H914"/>
    <cellWatch r="I914"/>
    <cellWatch r="J914"/>
    <cellWatch r="K914"/>
    <cellWatch r="L914"/>
    <cellWatch r="M914"/>
    <cellWatch r="N914"/>
    <cellWatch r="A915"/>
    <cellWatch r="B915"/>
    <cellWatch r="C915"/>
    <cellWatch r="D915"/>
    <cellWatch r="E915"/>
    <cellWatch r="F915"/>
    <cellWatch r="G915"/>
    <cellWatch r="H915"/>
    <cellWatch r="I915"/>
    <cellWatch r="J915"/>
    <cellWatch r="K915"/>
    <cellWatch r="L915"/>
    <cellWatch r="M915"/>
    <cellWatch r="N915"/>
    <cellWatch r="A916"/>
    <cellWatch r="B916"/>
    <cellWatch r="C916"/>
    <cellWatch r="D916"/>
    <cellWatch r="E916"/>
    <cellWatch r="F916"/>
    <cellWatch r="G916"/>
    <cellWatch r="H916"/>
    <cellWatch r="I916"/>
    <cellWatch r="J916"/>
    <cellWatch r="K916"/>
    <cellWatch r="L916"/>
    <cellWatch r="M916"/>
    <cellWatch r="N916"/>
    <cellWatch r="A917"/>
    <cellWatch r="B917"/>
    <cellWatch r="C917"/>
    <cellWatch r="D917"/>
    <cellWatch r="E917"/>
    <cellWatch r="F917"/>
    <cellWatch r="G917"/>
    <cellWatch r="H917"/>
    <cellWatch r="I917"/>
    <cellWatch r="J917"/>
    <cellWatch r="K917"/>
    <cellWatch r="L917"/>
    <cellWatch r="M917"/>
    <cellWatch r="N917"/>
    <cellWatch r="A918"/>
    <cellWatch r="B918"/>
    <cellWatch r="C918"/>
    <cellWatch r="D918"/>
    <cellWatch r="E918"/>
    <cellWatch r="F918"/>
    <cellWatch r="G918"/>
    <cellWatch r="H918"/>
    <cellWatch r="I918"/>
    <cellWatch r="J918"/>
    <cellWatch r="K918"/>
    <cellWatch r="L918"/>
    <cellWatch r="M918"/>
    <cellWatch r="N918"/>
    <cellWatch r="A919"/>
    <cellWatch r="B919"/>
    <cellWatch r="C919"/>
    <cellWatch r="D919"/>
    <cellWatch r="E919"/>
    <cellWatch r="F919"/>
    <cellWatch r="G919"/>
    <cellWatch r="H919"/>
    <cellWatch r="I919"/>
    <cellWatch r="J919"/>
    <cellWatch r="K919"/>
    <cellWatch r="L919"/>
    <cellWatch r="M919"/>
    <cellWatch r="N919"/>
    <cellWatch r="A920"/>
    <cellWatch r="B920"/>
    <cellWatch r="C920"/>
    <cellWatch r="D920"/>
    <cellWatch r="E920"/>
    <cellWatch r="F920"/>
    <cellWatch r="G920"/>
    <cellWatch r="H920"/>
    <cellWatch r="I920"/>
    <cellWatch r="J920"/>
    <cellWatch r="K920"/>
    <cellWatch r="L920"/>
    <cellWatch r="M920"/>
    <cellWatch r="N920"/>
    <cellWatch r="A921"/>
    <cellWatch r="B921"/>
    <cellWatch r="C921"/>
    <cellWatch r="D921"/>
    <cellWatch r="E921"/>
    <cellWatch r="F921"/>
    <cellWatch r="G921"/>
    <cellWatch r="H921"/>
    <cellWatch r="I921"/>
    <cellWatch r="J921"/>
    <cellWatch r="K921"/>
    <cellWatch r="L921"/>
    <cellWatch r="M921"/>
    <cellWatch r="N921"/>
    <cellWatch r="A922"/>
    <cellWatch r="B922"/>
    <cellWatch r="C922"/>
    <cellWatch r="D922"/>
    <cellWatch r="E922"/>
    <cellWatch r="F922"/>
    <cellWatch r="G922"/>
    <cellWatch r="H922"/>
    <cellWatch r="I922"/>
    <cellWatch r="J922"/>
    <cellWatch r="K922"/>
    <cellWatch r="L922"/>
    <cellWatch r="M922"/>
    <cellWatch r="N922"/>
    <cellWatch r="A923"/>
    <cellWatch r="B923"/>
    <cellWatch r="C923"/>
    <cellWatch r="D923"/>
    <cellWatch r="E923"/>
    <cellWatch r="F923"/>
    <cellWatch r="G923"/>
    <cellWatch r="H923"/>
    <cellWatch r="I923"/>
    <cellWatch r="J923"/>
    <cellWatch r="K923"/>
    <cellWatch r="L923"/>
    <cellWatch r="M923"/>
    <cellWatch r="N923"/>
    <cellWatch r="A924"/>
    <cellWatch r="B924"/>
    <cellWatch r="C924"/>
    <cellWatch r="D924"/>
    <cellWatch r="E924"/>
    <cellWatch r="F924"/>
    <cellWatch r="G924"/>
    <cellWatch r="H924"/>
    <cellWatch r="I924"/>
    <cellWatch r="J924"/>
    <cellWatch r="K924"/>
    <cellWatch r="L924"/>
    <cellWatch r="M924"/>
    <cellWatch r="N924"/>
    <cellWatch r="A925"/>
    <cellWatch r="B925"/>
    <cellWatch r="C925"/>
    <cellWatch r="D925"/>
    <cellWatch r="E925"/>
    <cellWatch r="F925"/>
    <cellWatch r="G925"/>
    <cellWatch r="H925"/>
    <cellWatch r="I925"/>
    <cellWatch r="J925"/>
    <cellWatch r="K925"/>
    <cellWatch r="L925"/>
    <cellWatch r="M925"/>
    <cellWatch r="N925"/>
    <cellWatch r="A926"/>
    <cellWatch r="B926"/>
    <cellWatch r="C926"/>
    <cellWatch r="D926"/>
    <cellWatch r="E926"/>
    <cellWatch r="F926"/>
    <cellWatch r="G926"/>
    <cellWatch r="H926"/>
    <cellWatch r="I926"/>
    <cellWatch r="J926"/>
    <cellWatch r="K926"/>
    <cellWatch r="L926"/>
    <cellWatch r="M926"/>
    <cellWatch r="N926"/>
    <cellWatch r="A927"/>
    <cellWatch r="B927"/>
    <cellWatch r="C927"/>
    <cellWatch r="D927"/>
    <cellWatch r="E927"/>
    <cellWatch r="F927"/>
    <cellWatch r="G927"/>
    <cellWatch r="H927"/>
    <cellWatch r="I927"/>
    <cellWatch r="J927"/>
    <cellWatch r="K927"/>
    <cellWatch r="L927"/>
    <cellWatch r="M927"/>
    <cellWatch r="N927"/>
    <cellWatch r="A928"/>
    <cellWatch r="B928"/>
    <cellWatch r="C928"/>
    <cellWatch r="D928"/>
    <cellWatch r="E928"/>
    <cellWatch r="F928"/>
    <cellWatch r="G928"/>
    <cellWatch r="H928"/>
    <cellWatch r="I928"/>
    <cellWatch r="J928"/>
    <cellWatch r="K928"/>
    <cellWatch r="L928"/>
    <cellWatch r="M928"/>
    <cellWatch r="N928"/>
    <cellWatch r="A929"/>
    <cellWatch r="B929"/>
    <cellWatch r="C929"/>
    <cellWatch r="D929"/>
    <cellWatch r="E929"/>
    <cellWatch r="F929"/>
    <cellWatch r="G929"/>
    <cellWatch r="H929"/>
    <cellWatch r="I929"/>
    <cellWatch r="J929"/>
    <cellWatch r="K929"/>
    <cellWatch r="L929"/>
    <cellWatch r="M929"/>
    <cellWatch r="N929"/>
    <cellWatch r="A930"/>
    <cellWatch r="B930"/>
    <cellWatch r="C930"/>
    <cellWatch r="D930"/>
    <cellWatch r="E930"/>
    <cellWatch r="F930"/>
    <cellWatch r="G930"/>
    <cellWatch r="H930"/>
    <cellWatch r="I930"/>
    <cellWatch r="J930"/>
    <cellWatch r="K930"/>
    <cellWatch r="L930"/>
    <cellWatch r="M930"/>
    <cellWatch r="N930"/>
    <cellWatch r="A931"/>
    <cellWatch r="B931"/>
    <cellWatch r="C931"/>
    <cellWatch r="D931"/>
    <cellWatch r="E931"/>
    <cellWatch r="F931"/>
    <cellWatch r="G931"/>
    <cellWatch r="H931"/>
    <cellWatch r="I931"/>
    <cellWatch r="J931"/>
    <cellWatch r="K931"/>
    <cellWatch r="L931"/>
    <cellWatch r="M931"/>
    <cellWatch r="N931"/>
    <cellWatch r="A932"/>
    <cellWatch r="B932"/>
    <cellWatch r="C932"/>
    <cellWatch r="D932"/>
    <cellWatch r="E932"/>
    <cellWatch r="F932"/>
    <cellWatch r="G932"/>
    <cellWatch r="H932"/>
    <cellWatch r="I932"/>
    <cellWatch r="J932"/>
    <cellWatch r="K932"/>
    <cellWatch r="L932"/>
    <cellWatch r="M932"/>
    <cellWatch r="N932"/>
    <cellWatch r="A933"/>
    <cellWatch r="B933"/>
    <cellWatch r="C933"/>
    <cellWatch r="D933"/>
    <cellWatch r="E933"/>
    <cellWatch r="F933"/>
    <cellWatch r="G933"/>
    <cellWatch r="H933"/>
    <cellWatch r="I933"/>
    <cellWatch r="J933"/>
    <cellWatch r="K933"/>
    <cellWatch r="L933"/>
    <cellWatch r="M933"/>
    <cellWatch r="N933"/>
    <cellWatch r="A934"/>
    <cellWatch r="B934"/>
    <cellWatch r="C934"/>
    <cellWatch r="D934"/>
    <cellWatch r="E934"/>
    <cellWatch r="F934"/>
    <cellWatch r="G934"/>
    <cellWatch r="H934"/>
    <cellWatch r="I934"/>
    <cellWatch r="J934"/>
    <cellWatch r="K934"/>
    <cellWatch r="L934"/>
    <cellWatch r="M934"/>
    <cellWatch r="N934"/>
    <cellWatch r="A935"/>
    <cellWatch r="B935"/>
    <cellWatch r="C935"/>
    <cellWatch r="D935"/>
    <cellWatch r="E935"/>
    <cellWatch r="F935"/>
    <cellWatch r="G935"/>
    <cellWatch r="H935"/>
    <cellWatch r="I935"/>
    <cellWatch r="J935"/>
    <cellWatch r="K935"/>
    <cellWatch r="L935"/>
    <cellWatch r="M935"/>
    <cellWatch r="N935"/>
    <cellWatch r="A936"/>
    <cellWatch r="B936"/>
    <cellWatch r="C936"/>
    <cellWatch r="D936"/>
    <cellWatch r="E936"/>
    <cellWatch r="F936"/>
    <cellWatch r="G936"/>
    <cellWatch r="H936"/>
    <cellWatch r="I936"/>
    <cellWatch r="J936"/>
    <cellWatch r="K936"/>
    <cellWatch r="L936"/>
    <cellWatch r="M936"/>
    <cellWatch r="N936"/>
    <cellWatch r="A937"/>
    <cellWatch r="B937"/>
    <cellWatch r="C937"/>
    <cellWatch r="D937"/>
    <cellWatch r="E937"/>
    <cellWatch r="F937"/>
    <cellWatch r="G937"/>
    <cellWatch r="H937"/>
    <cellWatch r="I937"/>
    <cellWatch r="J937"/>
    <cellWatch r="K937"/>
    <cellWatch r="L937"/>
    <cellWatch r="M937"/>
    <cellWatch r="N937"/>
    <cellWatch r="A938"/>
    <cellWatch r="B938"/>
    <cellWatch r="C938"/>
    <cellWatch r="D938"/>
    <cellWatch r="E938"/>
    <cellWatch r="F938"/>
    <cellWatch r="G938"/>
    <cellWatch r="H938"/>
    <cellWatch r="I938"/>
    <cellWatch r="J938"/>
    <cellWatch r="K938"/>
    <cellWatch r="L938"/>
    <cellWatch r="M938"/>
    <cellWatch r="N938"/>
    <cellWatch r="A939"/>
    <cellWatch r="B939"/>
    <cellWatch r="C939"/>
    <cellWatch r="D939"/>
    <cellWatch r="E939"/>
    <cellWatch r="F939"/>
    <cellWatch r="G939"/>
    <cellWatch r="H939"/>
    <cellWatch r="I939"/>
    <cellWatch r="J939"/>
    <cellWatch r="K939"/>
    <cellWatch r="L939"/>
    <cellWatch r="M939"/>
    <cellWatch r="N939"/>
    <cellWatch r="A940"/>
    <cellWatch r="B940"/>
    <cellWatch r="C940"/>
    <cellWatch r="D940"/>
    <cellWatch r="E940"/>
    <cellWatch r="F940"/>
    <cellWatch r="G940"/>
    <cellWatch r="H940"/>
    <cellWatch r="I940"/>
    <cellWatch r="J940"/>
    <cellWatch r="K940"/>
    <cellWatch r="L940"/>
    <cellWatch r="M940"/>
    <cellWatch r="N940"/>
    <cellWatch r="A941"/>
    <cellWatch r="B941"/>
    <cellWatch r="C941"/>
    <cellWatch r="D941"/>
    <cellWatch r="E941"/>
    <cellWatch r="F941"/>
    <cellWatch r="G941"/>
    <cellWatch r="H941"/>
    <cellWatch r="I941"/>
    <cellWatch r="J941"/>
    <cellWatch r="K941"/>
    <cellWatch r="L941"/>
    <cellWatch r="M941"/>
    <cellWatch r="N941"/>
    <cellWatch r="A942"/>
    <cellWatch r="B942"/>
    <cellWatch r="C942"/>
    <cellWatch r="D942"/>
    <cellWatch r="E942"/>
    <cellWatch r="F942"/>
    <cellWatch r="G942"/>
    <cellWatch r="H942"/>
    <cellWatch r="I942"/>
    <cellWatch r="J942"/>
    <cellWatch r="K942"/>
    <cellWatch r="L942"/>
    <cellWatch r="M942"/>
    <cellWatch r="N942"/>
    <cellWatch r="A943"/>
    <cellWatch r="B943"/>
    <cellWatch r="C943"/>
    <cellWatch r="D943"/>
    <cellWatch r="E943"/>
    <cellWatch r="F943"/>
    <cellWatch r="G943"/>
    <cellWatch r="H943"/>
    <cellWatch r="I943"/>
    <cellWatch r="J943"/>
    <cellWatch r="K943"/>
    <cellWatch r="L943"/>
    <cellWatch r="M943"/>
    <cellWatch r="N943"/>
    <cellWatch r="A944"/>
    <cellWatch r="B944"/>
    <cellWatch r="C944"/>
    <cellWatch r="D944"/>
    <cellWatch r="E944"/>
    <cellWatch r="F944"/>
    <cellWatch r="G944"/>
    <cellWatch r="H944"/>
    <cellWatch r="I944"/>
    <cellWatch r="J944"/>
    <cellWatch r="K944"/>
    <cellWatch r="L944"/>
    <cellWatch r="M944"/>
    <cellWatch r="N944"/>
    <cellWatch r="A945"/>
    <cellWatch r="B945"/>
    <cellWatch r="C945"/>
    <cellWatch r="D945"/>
    <cellWatch r="E945"/>
    <cellWatch r="F945"/>
    <cellWatch r="G945"/>
    <cellWatch r="H945"/>
    <cellWatch r="I945"/>
    <cellWatch r="J945"/>
    <cellWatch r="K945"/>
    <cellWatch r="L945"/>
    <cellWatch r="M945"/>
    <cellWatch r="N945"/>
    <cellWatch r="A946"/>
    <cellWatch r="B946"/>
    <cellWatch r="C946"/>
    <cellWatch r="D946"/>
    <cellWatch r="E946"/>
    <cellWatch r="F946"/>
    <cellWatch r="G946"/>
    <cellWatch r="H946"/>
    <cellWatch r="I946"/>
    <cellWatch r="J946"/>
    <cellWatch r="K946"/>
    <cellWatch r="L946"/>
    <cellWatch r="M946"/>
    <cellWatch r="N946"/>
    <cellWatch r="A947"/>
    <cellWatch r="B947"/>
    <cellWatch r="C947"/>
    <cellWatch r="D947"/>
    <cellWatch r="E947"/>
    <cellWatch r="F947"/>
    <cellWatch r="G947"/>
    <cellWatch r="H947"/>
    <cellWatch r="I947"/>
    <cellWatch r="J947"/>
    <cellWatch r="K947"/>
    <cellWatch r="L947"/>
    <cellWatch r="M947"/>
    <cellWatch r="N947"/>
    <cellWatch r="A948"/>
    <cellWatch r="B948"/>
    <cellWatch r="C948"/>
    <cellWatch r="D948"/>
    <cellWatch r="E948"/>
    <cellWatch r="F948"/>
    <cellWatch r="G948"/>
    <cellWatch r="H948"/>
    <cellWatch r="I948"/>
    <cellWatch r="J948"/>
    <cellWatch r="K948"/>
    <cellWatch r="L948"/>
    <cellWatch r="M948"/>
    <cellWatch r="N948"/>
    <cellWatch r="A949"/>
    <cellWatch r="B949"/>
    <cellWatch r="C949"/>
    <cellWatch r="D949"/>
    <cellWatch r="E949"/>
    <cellWatch r="F949"/>
    <cellWatch r="G949"/>
    <cellWatch r="H949"/>
    <cellWatch r="I949"/>
    <cellWatch r="J949"/>
    <cellWatch r="K949"/>
    <cellWatch r="L949"/>
    <cellWatch r="M949"/>
    <cellWatch r="N949"/>
    <cellWatch r="A950"/>
    <cellWatch r="B950"/>
    <cellWatch r="C950"/>
    <cellWatch r="D950"/>
    <cellWatch r="E950"/>
    <cellWatch r="F950"/>
    <cellWatch r="G950"/>
    <cellWatch r="H950"/>
    <cellWatch r="I950"/>
    <cellWatch r="J950"/>
    <cellWatch r="K950"/>
    <cellWatch r="L950"/>
    <cellWatch r="M950"/>
    <cellWatch r="N950"/>
    <cellWatch r="A951"/>
    <cellWatch r="B951"/>
    <cellWatch r="C951"/>
    <cellWatch r="D951"/>
    <cellWatch r="E951"/>
    <cellWatch r="F951"/>
    <cellWatch r="G951"/>
    <cellWatch r="H951"/>
    <cellWatch r="I951"/>
    <cellWatch r="J951"/>
    <cellWatch r="K951"/>
    <cellWatch r="L951"/>
    <cellWatch r="M951"/>
    <cellWatch r="N951"/>
    <cellWatch r="A952"/>
    <cellWatch r="B952"/>
    <cellWatch r="C952"/>
    <cellWatch r="D952"/>
    <cellWatch r="E952"/>
    <cellWatch r="F952"/>
    <cellWatch r="G952"/>
    <cellWatch r="H952"/>
    <cellWatch r="I952"/>
    <cellWatch r="J952"/>
    <cellWatch r="K952"/>
    <cellWatch r="L952"/>
    <cellWatch r="M952"/>
    <cellWatch r="N952"/>
    <cellWatch r="A953"/>
    <cellWatch r="B953"/>
    <cellWatch r="C953"/>
    <cellWatch r="D953"/>
    <cellWatch r="E953"/>
    <cellWatch r="F953"/>
    <cellWatch r="G953"/>
    <cellWatch r="H953"/>
    <cellWatch r="I953"/>
    <cellWatch r="J953"/>
    <cellWatch r="K953"/>
    <cellWatch r="L953"/>
    <cellWatch r="M953"/>
    <cellWatch r="N953"/>
    <cellWatch r="A954"/>
    <cellWatch r="B954"/>
    <cellWatch r="C954"/>
    <cellWatch r="D954"/>
    <cellWatch r="E954"/>
    <cellWatch r="F954"/>
    <cellWatch r="G954"/>
    <cellWatch r="H954"/>
    <cellWatch r="I954"/>
    <cellWatch r="J954"/>
    <cellWatch r="K954"/>
    <cellWatch r="L954"/>
    <cellWatch r="M954"/>
    <cellWatch r="N954"/>
    <cellWatch r="A955"/>
    <cellWatch r="B955"/>
    <cellWatch r="C955"/>
    <cellWatch r="D955"/>
    <cellWatch r="E955"/>
    <cellWatch r="F955"/>
    <cellWatch r="G955"/>
    <cellWatch r="H955"/>
    <cellWatch r="I955"/>
    <cellWatch r="J955"/>
    <cellWatch r="K955"/>
    <cellWatch r="L955"/>
    <cellWatch r="M955"/>
    <cellWatch r="N955"/>
    <cellWatch r="A956"/>
    <cellWatch r="B956"/>
    <cellWatch r="C956"/>
    <cellWatch r="D956"/>
    <cellWatch r="E956"/>
    <cellWatch r="F956"/>
    <cellWatch r="G956"/>
    <cellWatch r="H956"/>
    <cellWatch r="I956"/>
    <cellWatch r="J956"/>
    <cellWatch r="K956"/>
    <cellWatch r="L956"/>
    <cellWatch r="M956"/>
    <cellWatch r="N956"/>
    <cellWatch r="A957"/>
    <cellWatch r="B957"/>
    <cellWatch r="C957"/>
    <cellWatch r="D957"/>
    <cellWatch r="E957"/>
    <cellWatch r="F957"/>
    <cellWatch r="G957"/>
    <cellWatch r="H957"/>
    <cellWatch r="I957"/>
    <cellWatch r="J957"/>
    <cellWatch r="K957"/>
    <cellWatch r="L957"/>
    <cellWatch r="M957"/>
    <cellWatch r="N957"/>
    <cellWatch r="A958"/>
    <cellWatch r="B958"/>
    <cellWatch r="C958"/>
    <cellWatch r="D958"/>
    <cellWatch r="E958"/>
    <cellWatch r="F958"/>
    <cellWatch r="G958"/>
    <cellWatch r="H958"/>
    <cellWatch r="I958"/>
    <cellWatch r="J958"/>
    <cellWatch r="K958"/>
    <cellWatch r="L958"/>
    <cellWatch r="M958"/>
    <cellWatch r="N958"/>
    <cellWatch r="A959"/>
    <cellWatch r="B959"/>
    <cellWatch r="C959"/>
    <cellWatch r="D959"/>
    <cellWatch r="E959"/>
    <cellWatch r="F959"/>
    <cellWatch r="G959"/>
    <cellWatch r="H959"/>
    <cellWatch r="I959"/>
    <cellWatch r="J959"/>
    <cellWatch r="K959"/>
    <cellWatch r="L959"/>
    <cellWatch r="M959"/>
    <cellWatch r="N959"/>
    <cellWatch r="A960"/>
    <cellWatch r="B960"/>
    <cellWatch r="C960"/>
    <cellWatch r="D960"/>
    <cellWatch r="E960"/>
    <cellWatch r="F960"/>
    <cellWatch r="G960"/>
    <cellWatch r="H960"/>
    <cellWatch r="I960"/>
    <cellWatch r="J960"/>
    <cellWatch r="K960"/>
    <cellWatch r="L960"/>
    <cellWatch r="M960"/>
    <cellWatch r="N960"/>
    <cellWatch r="A961"/>
    <cellWatch r="B961"/>
    <cellWatch r="C961"/>
    <cellWatch r="D961"/>
    <cellWatch r="E961"/>
    <cellWatch r="F961"/>
    <cellWatch r="G961"/>
    <cellWatch r="H961"/>
    <cellWatch r="I961"/>
    <cellWatch r="J961"/>
    <cellWatch r="K961"/>
    <cellWatch r="L961"/>
    <cellWatch r="M961"/>
    <cellWatch r="N961"/>
    <cellWatch r="A962"/>
    <cellWatch r="B962"/>
    <cellWatch r="C962"/>
    <cellWatch r="D962"/>
    <cellWatch r="E962"/>
    <cellWatch r="F962"/>
    <cellWatch r="G962"/>
    <cellWatch r="H962"/>
    <cellWatch r="I962"/>
    <cellWatch r="J962"/>
    <cellWatch r="K962"/>
    <cellWatch r="L962"/>
    <cellWatch r="M962"/>
    <cellWatch r="N962"/>
    <cellWatch r="A963"/>
    <cellWatch r="B963"/>
    <cellWatch r="C963"/>
    <cellWatch r="D963"/>
    <cellWatch r="E963"/>
    <cellWatch r="F963"/>
    <cellWatch r="G963"/>
    <cellWatch r="H963"/>
    <cellWatch r="I963"/>
    <cellWatch r="J963"/>
    <cellWatch r="K963"/>
    <cellWatch r="L963"/>
    <cellWatch r="M963"/>
    <cellWatch r="N963"/>
    <cellWatch r="A964"/>
    <cellWatch r="B964"/>
    <cellWatch r="C964"/>
    <cellWatch r="D964"/>
    <cellWatch r="E964"/>
    <cellWatch r="F964"/>
    <cellWatch r="G964"/>
    <cellWatch r="H964"/>
    <cellWatch r="I964"/>
    <cellWatch r="J964"/>
    <cellWatch r="K964"/>
    <cellWatch r="L964"/>
    <cellWatch r="M964"/>
    <cellWatch r="N964"/>
    <cellWatch r="A965"/>
    <cellWatch r="B965"/>
    <cellWatch r="C965"/>
    <cellWatch r="D965"/>
    <cellWatch r="E965"/>
    <cellWatch r="F965"/>
    <cellWatch r="G965"/>
    <cellWatch r="H965"/>
    <cellWatch r="I965"/>
    <cellWatch r="J965"/>
    <cellWatch r="K965"/>
    <cellWatch r="L965"/>
    <cellWatch r="M965"/>
    <cellWatch r="N965"/>
    <cellWatch r="A966"/>
    <cellWatch r="B966"/>
    <cellWatch r="C966"/>
    <cellWatch r="D966"/>
    <cellWatch r="E966"/>
    <cellWatch r="F966"/>
    <cellWatch r="G966"/>
    <cellWatch r="H966"/>
    <cellWatch r="I966"/>
    <cellWatch r="J966"/>
    <cellWatch r="K966"/>
    <cellWatch r="L966"/>
    <cellWatch r="M966"/>
    <cellWatch r="N966"/>
    <cellWatch r="A967"/>
    <cellWatch r="B967"/>
    <cellWatch r="C967"/>
    <cellWatch r="D967"/>
    <cellWatch r="E967"/>
    <cellWatch r="F967"/>
    <cellWatch r="G967"/>
    <cellWatch r="H967"/>
    <cellWatch r="I967"/>
    <cellWatch r="J967"/>
    <cellWatch r="K967"/>
    <cellWatch r="L967"/>
    <cellWatch r="M967"/>
    <cellWatch r="N967"/>
    <cellWatch r="A968"/>
    <cellWatch r="B968"/>
    <cellWatch r="C968"/>
    <cellWatch r="D968"/>
    <cellWatch r="E968"/>
    <cellWatch r="F968"/>
    <cellWatch r="G968"/>
    <cellWatch r="H968"/>
    <cellWatch r="I968"/>
    <cellWatch r="J968"/>
    <cellWatch r="K968"/>
    <cellWatch r="L968"/>
    <cellWatch r="M968"/>
    <cellWatch r="N968"/>
    <cellWatch r="A969"/>
    <cellWatch r="B969"/>
    <cellWatch r="C969"/>
    <cellWatch r="D969"/>
    <cellWatch r="E969"/>
    <cellWatch r="F969"/>
    <cellWatch r="G969"/>
    <cellWatch r="H969"/>
    <cellWatch r="I969"/>
    <cellWatch r="J969"/>
    <cellWatch r="K969"/>
    <cellWatch r="L969"/>
    <cellWatch r="M969"/>
    <cellWatch r="N969"/>
    <cellWatch r="A970"/>
    <cellWatch r="B970"/>
    <cellWatch r="C970"/>
    <cellWatch r="D970"/>
    <cellWatch r="E970"/>
    <cellWatch r="F970"/>
    <cellWatch r="G970"/>
    <cellWatch r="H970"/>
    <cellWatch r="I970"/>
    <cellWatch r="J970"/>
    <cellWatch r="K970"/>
    <cellWatch r="L970"/>
    <cellWatch r="M970"/>
    <cellWatch r="N970"/>
    <cellWatch r="A971"/>
    <cellWatch r="B971"/>
    <cellWatch r="C971"/>
    <cellWatch r="D971"/>
    <cellWatch r="E971"/>
    <cellWatch r="F971"/>
    <cellWatch r="G971"/>
    <cellWatch r="H971"/>
    <cellWatch r="I971"/>
    <cellWatch r="J971"/>
    <cellWatch r="K971"/>
    <cellWatch r="L971"/>
    <cellWatch r="M971"/>
    <cellWatch r="N971"/>
    <cellWatch r="A972"/>
    <cellWatch r="B972"/>
    <cellWatch r="C972"/>
    <cellWatch r="D972"/>
    <cellWatch r="E972"/>
    <cellWatch r="F972"/>
    <cellWatch r="G972"/>
    <cellWatch r="H972"/>
    <cellWatch r="I972"/>
    <cellWatch r="J972"/>
    <cellWatch r="K972"/>
    <cellWatch r="L972"/>
    <cellWatch r="M972"/>
    <cellWatch r="N972"/>
    <cellWatch r="A973"/>
    <cellWatch r="B973"/>
    <cellWatch r="C973"/>
    <cellWatch r="D973"/>
    <cellWatch r="E973"/>
    <cellWatch r="F973"/>
    <cellWatch r="G973"/>
    <cellWatch r="H973"/>
    <cellWatch r="I973"/>
    <cellWatch r="J973"/>
    <cellWatch r="K973"/>
    <cellWatch r="L973"/>
    <cellWatch r="M973"/>
    <cellWatch r="N973"/>
    <cellWatch r="A974"/>
    <cellWatch r="B974"/>
    <cellWatch r="C974"/>
    <cellWatch r="D974"/>
    <cellWatch r="E974"/>
    <cellWatch r="F974"/>
    <cellWatch r="G974"/>
    <cellWatch r="H974"/>
    <cellWatch r="I974"/>
    <cellWatch r="J974"/>
    <cellWatch r="K974"/>
    <cellWatch r="L974"/>
    <cellWatch r="M974"/>
    <cellWatch r="N974"/>
    <cellWatch r="A975"/>
    <cellWatch r="B975"/>
    <cellWatch r="C975"/>
    <cellWatch r="D975"/>
    <cellWatch r="E975"/>
    <cellWatch r="F975"/>
    <cellWatch r="G975"/>
    <cellWatch r="H975"/>
    <cellWatch r="I975"/>
    <cellWatch r="J975"/>
    <cellWatch r="K975"/>
    <cellWatch r="L975"/>
    <cellWatch r="M975"/>
    <cellWatch r="N975"/>
    <cellWatch r="A976"/>
    <cellWatch r="B976"/>
    <cellWatch r="C976"/>
    <cellWatch r="D976"/>
    <cellWatch r="E976"/>
    <cellWatch r="F976"/>
    <cellWatch r="G976"/>
    <cellWatch r="H976"/>
    <cellWatch r="I976"/>
    <cellWatch r="J976"/>
    <cellWatch r="K976"/>
    <cellWatch r="L976"/>
    <cellWatch r="M976"/>
    <cellWatch r="N976"/>
    <cellWatch r="A977"/>
    <cellWatch r="B977"/>
    <cellWatch r="C977"/>
    <cellWatch r="D977"/>
    <cellWatch r="E977"/>
    <cellWatch r="F977"/>
    <cellWatch r="G977"/>
    <cellWatch r="H977"/>
    <cellWatch r="I977"/>
    <cellWatch r="J977"/>
    <cellWatch r="K977"/>
    <cellWatch r="L977"/>
    <cellWatch r="M977"/>
    <cellWatch r="N977"/>
    <cellWatch r="A978"/>
    <cellWatch r="B978"/>
    <cellWatch r="C978"/>
    <cellWatch r="D978"/>
    <cellWatch r="E978"/>
    <cellWatch r="F978"/>
    <cellWatch r="G978"/>
    <cellWatch r="H978"/>
    <cellWatch r="I978"/>
    <cellWatch r="J978"/>
    <cellWatch r="K978"/>
    <cellWatch r="L978"/>
    <cellWatch r="M978"/>
    <cellWatch r="N978"/>
    <cellWatch r="A979"/>
    <cellWatch r="B979"/>
    <cellWatch r="C979"/>
    <cellWatch r="D979"/>
    <cellWatch r="E979"/>
    <cellWatch r="F979"/>
    <cellWatch r="G979"/>
    <cellWatch r="H979"/>
    <cellWatch r="I979"/>
    <cellWatch r="J979"/>
    <cellWatch r="K979"/>
    <cellWatch r="L979"/>
    <cellWatch r="M979"/>
    <cellWatch r="N979"/>
    <cellWatch r="A980"/>
    <cellWatch r="B980"/>
    <cellWatch r="C980"/>
    <cellWatch r="D980"/>
    <cellWatch r="E980"/>
    <cellWatch r="F980"/>
    <cellWatch r="G980"/>
    <cellWatch r="H980"/>
    <cellWatch r="I980"/>
    <cellWatch r="J980"/>
    <cellWatch r="K980"/>
    <cellWatch r="L980"/>
    <cellWatch r="M980"/>
    <cellWatch r="N980"/>
    <cellWatch r="A981"/>
    <cellWatch r="B981"/>
    <cellWatch r="C981"/>
    <cellWatch r="D981"/>
    <cellWatch r="E981"/>
    <cellWatch r="F981"/>
    <cellWatch r="G981"/>
    <cellWatch r="H981"/>
    <cellWatch r="I981"/>
    <cellWatch r="J981"/>
    <cellWatch r="K981"/>
    <cellWatch r="L981"/>
    <cellWatch r="M981"/>
    <cellWatch r="N981"/>
    <cellWatch r="A982"/>
    <cellWatch r="B982"/>
    <cellWatch r="C982"/>
    <cellWatch r="D982"/>
    <cellWatch r="E982"/>
    <cellWatch r="F982"/>
    <cellWatch r="G982"/>
    <cellWatch r="H982"/>
    <cellWatch r="I982"/>
    <cellWatch r="J982"/>
    <cellWatch r="K982"/>
    <cellWatch r="L982"/>
    <cellWatch r="M982"/>
    <cellWatch r="N982"/>
    <cellWatch r="A983"/>
    <cellWatch r="B983"/>
    <cellWatch r="C983"/>
    <cellWatch r="D983"/>
    <cellWatch r="E983"/>
    <cellWatch r="F983"/>
    <cellWatch r="G983"/>
    <cellWatch r="H983"/>
    <cellWatch r="I983"/>
    <cellWatch r="J983"/>
    <cellWatch r="K983"/>
    <cellWatch r="L983"/>
    <cellWatch r="M983"/>
    <cellWatch r="N983"/>
    <cellWatch r="A984"/>
    <cellWatch r="B984"/>
    <cellWatch r="C984"/>
    <cellWatch r="D984"/>
    <cellWatch r="E984"/>
    <cellWatch r="F984"/>
    <cellWatch r="G984"/>
    <cellWatch r="H984"/>
    <cellWatch r="I984"/>
    <cellWatch r="J984"/>
    <cellWatch r="K984"/>
    <cellWatch r="L984"/>
    <cellWatch r="M984"/>
    <cellWatch r="N984"/>
    <cellWatch r="A985"/>
    <cellWatch r="B985"/>
    <cellWatch r="C985"/>
    <cellWatch r="D985"/>
    <cellWatch r="E985"/>
    <cellWatch r="F985"/>
    <cellWatch r="G985"/>
    <cellWatch r="H985"/>
    <cellWatch r="I985"/>
    <cellWatch r="J985"/>
    <cellWatch r="K985"/>
    <cellWatch r="L985"/>
    <cellWatch r="M985"/>
    <cellWatch r="N985"/>
    <cellWatch r="A986"/>
    <cellWatch r="B986"/>
    <cellWatch r="C986"/>
    <cellWatch r="D986"/>
    <cellWatch r="E986"/>
    <cellWatch r="F986"/>
    <cellWatch r="G986"/>
    <cellWatch r="H986"/>
    <cellWatch r="I986"/>
    <cellWatch r="J986"/>
    <cellWatch r="K986"/>
    <cellWatch r="L986"/>
    <cellWatch r="M986"/>
    <cellWatch r="N986"/>
    <cellWatch r="A987"/>
    <cellWatch r="B987"/>
    <cellWatch r="C987"/>
    <cellWatch r="D987"/>
    <cellWatch r="E987"/>
    <cellWatch r="F987"/>
    <cellWatch r="G987"/>
    <cellWatch r="H987"/>
    <cellWatch r="I987"/>
    <cellWatch r="J987"/>
    <cellWatch r="K987"/>
    <cellWatch r="L987"/>
    <cellWatch r="M987"/>
    <cellWatch r="N987"/>
    <cellWatch r="A988"/>
    <cellWatch r="B988"/>
    <cellWatch r="C988"/>
    <cellWatch r="D988"/>
    <cellWatch r="E988"/>
    <cellWatch r="F988"/>
    <cellWatch r="G988"/>
    <cellWatch r="H988"/>
    <cellWatch r="I988"/>
    <cellWatch r="J988"/>
    <cellWatch r="K988"/>
    <cellWatch r="L988"/>
    <cellWatch r="M988"/>
    <cellWatch r="N988"/>
    <cellWatch r="A989"/>
    <cellWatch r="B989"/>
    <cellWatch r="C989"/>
    <cellWatch r="D989"/>
    <cellWatch r="E989"/>
    <cellWatch r="F989"/>
    <cellWatch r="G989"/>
    <cellWatch r="H989"/>
    <cellWatch r="I989"/>
    <cellWatch r="J989"/>
    <cellWatch r="K989"/>
    <cellWatch r="L989"/>
    <cellWatch r="M989"/>
    <cellWatch r="N989"/>
    <cellWatch r="A990"/>
    <cellWatch r="B990"/>
    <cellWatch r="C990"/>
    <cellWatch r="D990"/>
    <cellWatch r="E990"/>
    <cellWatch r="F990"/>
    <cellWatch r="G990"/>
    <cellWatch r="H990"/>
    <cellWatch r="I990"/>
    <cellWatch r="J990"/>
    <cellWatch r="K990"/>
    <cellWatch r="L990"/>
    <cellWatch r="M990"/>
    <cellWatch r="N990"/>
    <cellWatch r="A991"/>
    <cellWatch r="B991"/>
    <cellWatch r="C991"/>
    <cellWatch r="D991"/>
    <cellWatch r="E991"/>
    <cellWatch r="F991"/>
    <cellWatch r="G991"/>
    <cellWatch r="H991"/>
    <cellWatch r="I991"/>
    <cellWatch r="J991"/>
    <cellWatch r="K991"/>
    <cellWatch r="L991"/>
    <cellWatch r="M991"/>
    <cellWatch r="N991"/>
    <cellWatch r="A992"/>
    <cellWatch r="B992"/>
    <cellWatch r="C992"/>
    <cellWatch r="D992"/>
    <cellWatch r="E992"/>
    <cellWatch r="F992"/>
    <cellWatch r="G992"/>
    <cellWatch r="H992"/>
    <cellWatch r="I992"/>
    <cellWatch r="J992"/>
    <cellWatch r="K992"/>
    <cellWatch r="L992"/>
    <cellWatch r="M992"/>
    <cellWatch r="N992"/>
    <cellWatch r="A993"/>
    <cellWatch r="B993"/>
    <cellWatch r="C993"/>
    <cellWatch r="D993"/>
    <cellWatch r="E993"/>
    <cellWatch r="F993"/>
    <cellWatch r="G993"/>
    <cellWatch r="H993"/>
    <cellWatch r="I993"/>
    <cellWatch r="J993"/>
    <cellWatch r="K993"/>
    <cellWatch r="L993"/>
    <cellWatch r="M993"/>
    <cellWatch r="N993"/>
    <cellWatch r="A994"/>
    <cellWatch r="B994"/>
    <cellWatch r="C994"/>
    <cellWatch r="D994"/>
    <cellWatch r="E994"/>
    <cellWatch r="F994"/>
    <cellWatch r="G994"/>
    <cellWatch r="H994"/>
    <cellWatch r="I994"/>
    <cellWatch r="J994"/>
    <cellWatch r="K994"/>
    <cellWatch r="L994"/>
    <cellWatch r="M994"/>
    <cellWatch r="N994"/>
    <cellWatch r="A995"/>
    <cellWatch r="B995"/>
    <cellWatch r="C995"/>
    <cellWatch r="D995"/>
    <cellWatch r="E995"/>
    <cellWatch r="F995"/>
    <cellWatch r="G995"/>
    <cellWatch r="H995"/>
    <cellWatch r="I995"/>
    <cellWatch r="J995"/>
    <cellWatch r="K995"/>
    <cellWatch r="L995"/>
    <cellWatch r="M995"/>
    <cellWatch r="N995"/>
    <cellWatch r="A996"/>
    <cellWatch r="B996"/>
    <cellWatch r="C996"/>
    <cellWatch r="D996"/>
    <cellWatch r="E996"/>
    <cellWatch r="F996"/>
    <cellWatch r="G996"/>
    <cellWatch r="H996"/>
    <cellWatch r="I996"/>
    <cellWatch r="J996"/>
    <cellWatch r="K996"/>
    <cellWatch r="L996"/>
    <cellWatch r="M996"/>
    <cellWatch r="N996"/>
    <cellWatch r="A997"/>
    <cellWatch r="B997"/>
    <cellWatch r="C997"/>
    <cellWatch r="D997"/>
    <cellWatch r="E997"/>
    <cellWatch r="F997"/>
    <cellWatch r="G997"/>
    <cellWatch r="H997"/>
    <cellWatch r="I997"/>
    <cellWatch r="J997"/>
    <cellWatch r="K997"/>
    <cellWatch r="L997"/>
    <cellWatch r="M997"/>
    <cellWatch r="N997"/>
    <cellWatch r="A998"/>
    <cellWatch r="B998"/>
    <cellWatch r="C998"/>
    <cellWatch r="D998"/>
    <cellWatch r="E998"/>
    <cellWatch r="F998"/>
    <cellWatch r="G998"/>
    <cellWatch r="H998"/>
    <cellWatch r="I998"/>
    <cellWatch r="J998"/>
    <cellWatch r="K998"/>
    <cellWatch r="L998"/>
    <cellWatch r="M998"/>
    <cellWatch r="N998"/>
    <cellWatch r="A999"/>
    <cellWatch r="B999"/>
    <cellWatch r="C999"/>
    <cellWatch r="D999"/>
    <cellWatch r="E999"/>
    <cellWatch r="F999"/>
    <cellWatch r="G999"/>
    <cellWatch r="H999"/>
    <cellWatch r="I999"/>
    <cellWatch r="J999"/>
    <cellWatch r="K999"/>
    <cellWatch r="L999"/>
    <cellWatch r="M999"/>
    <cellWatch r="N999"/>
    <cellWatch r="A1000"/>
    <cellWatch r="B1000"/>
    <cellWatch r="C1000"/>
    <cellWatch r="D1000"/>
    <cellWatch r="E1000"/>
    <cellWatch r="F1000"/>
    <cellWatch r="G1000"/>
    <cellWatch r="H1000"/>
    <cellWatch r="I1000"/>
    <cellWatch r="J1000"/>
    <cellWatch r="K1000"/>
    <cellWatch r="L1000"/>
    <cellWatch r="M1000"/>
    <cellWatch r="N1000"/>
    <cellWatch r="A1001"/>
    <cellWatch r="B1001"/>
    <cellWatch r="C1001"/>
    <cellWatch r="D1001"/>
    <cellWatch r="E1001"/>
    <cellWatch r="F1001"/>
    <cellWatch r="G1001"/>
    <cellWatch r="H1001"/>
    <cellWatch r="I1001"/>
    <cellWatch r="J1001"/>
    <cellWatch r="K1001"/>
    <cellWatch r="L1001"/>
    <cellWatch r="M1001"/>
    <cellWatch r="N1001"/>
  </cellWatch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manthan padir</cp:lastModifiedBy>
  <dcterms:created xsi:type="dcterms:W3CDTF">2024-08-29T16:56:13Z</dcterms:created>
  <dcterms:modified xsi:type="dcterms:W3CDTF">2025-11-30T15:23:34Z</dcterms:modified>
</cp:coreProperties>
</file>